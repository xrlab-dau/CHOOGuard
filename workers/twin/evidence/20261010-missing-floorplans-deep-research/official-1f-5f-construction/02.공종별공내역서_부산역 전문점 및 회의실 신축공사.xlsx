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181203 부산역 회의실 및 전문점\입찰의뢰\공고용\"/>
    </mc:Choice>
  </mc:AlternateContent>
  <bookViews>
    <workbookView xWindow="120" yWindow="90" windowWidth="23715" windowHeight="12555" activeTab="1"/>
  </bookViews>
  <sheets>
    <sheet name="표지" sheetId="14" r:id="rId1"/>
    <sheet name="원가계산서" sheetId="15" r:id="rId2"/>
    <sheet name="총괄표 " sheetId="16" r:id="rId3"/>
    <sheet name="공종별집계표" sheetId="9" r:id="rId4"/>
    <sheet name="공종별내역서" sheetId="8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EE1" localSheetId="2" hidden="1">{#N/A,#N/A,FALSE,"단가표지"}</definedName>
    <definedName name="____EE1" hidden="1">{#N/A,#N/A,FALSE,"단가표지"}</definedName>
    <definedName name="____gh1">#N/A</definedName>
    <definedName name="___gh1">#N/A</definedName>
    <definedName name="__EE1" localSheetId="2" hidden="1">{#N/A,#N/A,FALSE,"단가표지"}</definedName>
    <definedName name="__gh1" localSheetId="2">'총괄표 '!__gh1</definedName>
    <definedName name="__gh1">#N/A</definedName>
    <definedName name="__K1">#REF!</definedName>
    <definedName name="__K3">#REF!</definedName>
    <definedName name="__K6">#REF!</definedName>
    <definedName name="__p2">#REF!</definedName>
    <definedName name="__P22">#REF!</definedName>
    <definedName name="__P31">#REF!</definedName>
    <definedName name="__P33">#REF!</definedName>
    <definedName name="_1_______________________________________________________________________________________________________________________________________________________________________________123Grap" hidden="1">[1]공문!#REF!</definedName>
    <definedName name="_10______________________________________________________________________________________________________________________________________________________________________________S" hidden="1">#REF!</definedName>
    <definedName name="_10_____________________________________________________________________________________________________________________________________________________________________________\SM">'[2]#REF'!#REF!</definedName>
    <definedName name="_100____________________________________________________________________________________________________________________________________________________________________________ME">'[2]#REF'!#REF!</definedName>
    <definedName name="_100_________________________________________________________________________________________________________________________________________________________________________\LA">'[2]#REF'!#REF!</definedName>
    <definedName name="_1000_____________________________________________________________________________________________________________________________________________________0_0_S" hidden="1">[3]Sheet3!#REF!</definedName>
    <definedName name="_1000_________________________________________________________________________0_S" hidden="1">#REF!</definedName>
    <definedName name="_1001_________________________________________________________________________0_S" hidden="1">#REF!</definedName>
    <definedName name="_1002________________________________________________________________________________________________________________________________________________________123Grap" hidden="1">[1]공문!#REF!</definedName>
    <definedName name="_1002_________________________________________________________________________0\SM">'[4]#REF'!#REF!</definedName>
    <definedName name="_1003_______________________________________________________________________0_0__123Grap" hidden="1">[1]공문!#REF!</definedName>
    <definedName name="_1004_____________________________________________________________________________________________________________________________________________________3__Crite">#REF!</definedName>
    <definedName name="_1004_______________________________________________________________________0_0_F" hidden="1">[3]Sheet3!#REF!</definedName>
    <definedName name="_1005_______________________________________________________________________0_0_S" hidden="1">[3]Sheet3!#REF!</definedName>
    <definedName name="_1006_____________________________________________________________________________________________________________________________________________________3__Criteria">#REF!</definedName>
    <definedName name="_1006_______________________________________________________________________3__Crite">#REF!</definedName>
    <definedName name="_1007_______________________________________________________________________3__Criteria">#REF!</definedName>
    <definedName name="_1008________________________________________________________________________________________________________________________________________________________F" hidden="1">#REF!</definedName>
    <definedName name="_1008_______________________________________________________________________G_0Extract">#REF!</definedName>
    <definedName name="_1009_______________________________________________________________________G__Extr">#REF!</definedName>
    <definedName name="_101_________________________________________________________________________________________________________________________________________________________________________\MID">'[2]#REF'!#REF!</definedName>
    <definedName name="_1010________________________________________________________________________________________________________________________________________________________F" hidden="1">[3]Sheet3!#REF!</definedName>
    <definedName name="_1010__________________________________________________________________________________________________________________________________F" hidden="1">#REF!</definedName>
    <definedName name="_1010_______________________________________________________________________G__Extract">#REF!</definedName>
    <definedName name="_1011__________________________________________________________________________________________________________________________________F" hidden="1">[3]Sheet3!#REF!</definedName>
    <definedName name="_1011__________________________________________________________________________ME">'[2]#REF'!#REF!</definedName>
    <definedName name="_1012_____________________________________________________________________________________________________________________________________________________G_0Extract">#REF!</definedName>
    <definedName name="_1012__________________________________________________________________________ME">'[2]#REF'!#REF!</definedName>
    <definedName name="_1013________________________________________________________________________123Grap" hidden="1">[1]공문!#REF!</definedName>
    <definedName name="_1014_____________________________________________________________________________________________________________________________________________________G__Extr">#REF!</definedName>
    <definedName name="_1014_______________________________________________________________________F" hidden="1">#REF!</definedName>
    <definedName name="_1015_______________________________________________________________________F" hidden="1">[3]Sheet3!#REF!</definedName>
    <definedName name="_1016_____________________________________________________________________________________________________________________________________________________G__Extract">#REF!</definedName>
    <definedName name="_1016_______________________________________________________________________S" hidden="1">#REF!</definedName>
    <definedName name="_1017__________________________________________________________________________________________________________________________________S" hidden="1">#REF!</definedName>
    <definedName name="_1017_______________________________________________________________________S" hidden="1">[3]Sheet3!#REF!</definedName>
    <definedName name="_1018________________________________________________________________________________________________________________________________________________________ME">'[2]#REF'!#REF!</definedName>
    <definedName name="_1018__________________________________________________________________________________________________________________________________S" hidden="1">[3]Sheet3!#REF!</definedName>
    <definedName name="_1018_______________________________________________________________________S" hidden="1">#REF!</definedName>
    <definedName name="_1019__________________________________________________________________________________________________________________________________S" hidden="1">#REF!</definedName>
    <definedName name="_1019______________________________________________________________________\LA">'[2]#REF'!#REF!</definedName>
    <definedName name="_102____________________________________________________________________________________________________________________________________________________________________________S" hidden="1">#REF!</definedName>
    <definedName name="_102_________________________________________________________________________________________________________________________________________________________________________\SM">'[2]#REF'!#REF!</definedName>
    <definedName name="_1020________________________________________________________________________________________________________________________________________________________ME">'[2]#REF'!#REF!</definedName>
    <definedName name="_1020_________________________________________________________________________________________________________________________________\LA">'[2]#REF'!#REF!</definedName>
    <definedName name="_1020______________________________________________________________________\MID">'[2]#REF'!#REF!</definedName>
    <definedName name="_1021_________________________________________________________________________________________________________________________________\MID">'[2]#REF'!#REF!</definedName>
    <definedName name="_1021______________________________________________________________________\SM">'[2]#REF'!#REF!</definedName>
    <definedName name="_1022________________________________________________________________________________________________________________________________________________________S" hidden="1">#REF!</definedName>
    <definedName name="_1022_________________________________________________________________________________________________________________________________\SM">'[2]#REF'!#REF!</definedName>
    <definedName name="_1022_____________________________________________________________________0_F" hidden="1">#REF!</definedName>
    <definedName name="_1023________________________________________________________________________________________________________________________________0_F" hidden="1">#REF!</definedName>
    <definedName name="_1023_____________________________________________________________________0_S" hidden="1">#REF!</definedName>
    <definedName name="_1024________________________________________________________________________________________________________________________________________________________S" hidden="1">[3]Sheet3!#REF!</definedName>
    <definedName name="_1024________________________________________________________________________________________________________________________________0_S" hidden="1">#REF!</definedName>
    <definedName name="_1024_____________________________________________________________________0_S" hidden="1">#REF!</definedName>
    <definedName name="_1025________________________________________________________________________________________________________________________________0_S" hidden="1">#REF!</definedName>
    <definedName name="_1025_____________________________________________________________________0\SM">'[4]#REF'!#REF!</definedName>
    <definedName name="_1026________________________________________________________________________________________________________________________________________________________S" hidden="1">#REF!</definedName>
    <definedName name="_1026________________________________________________________________________________________________________________________________0\SM">'[4]#REF'!#REF!</definedName>
    <definedName name="_1026___________________________________________________________________0_0__123Grap" hidden="1">[1]공문!#REF!</definedName>
    <definedName name="_1027______________________________________________________________________________________________________________________________0_0__123Grap" hidden="1">[1]공문!#REF!</definedName>
    <definedName name="_1027___________________________________________________________________0_0_F" hidden="1">[3]Sheet3!#REF!</definedName>
    <definedName name="_1028_______________________________________________________________________________________________________________________________________________________\LA">'[2]#REF'!#REF!</definedName>
    <definedName name="_1028______________________________________________________________________________________________________________________________0_0_F" hidden="1">[3]Sheet3!#REF!</definedName>
    <definedName name="_1028___________________________________________________________________0_0_S" hidden="1">[3]Sheet3!#REF!</definedName>
    <definedName name="_1029______________________________________________________________________________________________________________________________0_0_S" hidden="1">[3]Sheet3!#REF!</definedName>
    <definedName name="_1029___________________________________________________________________3__Crite">#REF!</definedName>
    <definedName name="_103________________________________________________________________________________________________________________________________________________________________________0_F" hidden="1">#REF!</definedName>
    <definedName name="_1030_______________________________________________________________________________________________________________________________________________________\MID">'[2]#REF'!#REF!</definedName>
    <definedName name="_1030___________________________________________________________________3__Criteria">#REF!</definedName>
    <definedName name="_1031______________________________________________________________________________________________________________________________3__Crite">#REF!</definedName>
    <definedName name="_1031___________________________________________________________________G_0Extract">#REF!</definedName>
    <definedName name="_1032_______________________________________________________________________________________________________________________________________________________\SM">'[2]#REF'!#REF!</definedName>
    <definedName name="_1032______________________________________________________________________________________________________________________________3__Criteria">#REF!</definedName>
    <definedName name="_1032___________________________________________________________________G__Extr">#REF!</definedName>
    <definedName name="_1033___________________________________________________________________G__Extract">#REF!</definedName>
    <definedName name="_1034______________________________________________________________________________________________________________________________________________________0_F" hidden="1">#REF!</definedName>
    <definedName name="_1034______________________________________________________________________ME">'[2]#REF'!#REF!</definedName>
    <definedName name="_1035______________________________________________________________________________________________________________________________G_0Extract">#REF!</definedName>
    <definedName name="_1035______________________________________________________________________ME">'[2]#REF'!#REF!</definedName>
    <definedName name="_1036______________________________________________________________________________________________________________________________________________________0_S" hidden="1">#REF!</definedName>
    <definedName name="_1036______________________________________________________________________________________________________________________________G__Extr">#REF!</definedName>
    <definedName name="_1036____________________________________________________________________123Grap" hidden="1">[1]공문!#REF!</definedName>
    <definedName name="_1037______________________________________________________________________________________________________________________________G__Extract">#REF!</definedName>
    <definedName name="_1037___________________________________________________________________F" hidden="1">#REF!</definedName>
    <definedName name="_1038______________________________________________________________________________________________________________________________________________________0_S" hidden="1">#REF!</definedName>
    <definedName name="_1038_________________________________________________________________________________________________________________________________ME">'[2]#REF'!#REF!</definedName>
    <definedName name="_1038___________________________________________________________________F" hidden="1">[3]Sheet3!#REF!</definedName>
    <definedName name="_1039_________________________________________________________________________________________________________________________________ME">'[2]#REF'!#REF!</definedName>
    <definedName name="_1039___________________________________________________________________S" hidden="1">#REF!</definedName>
    <definedName name="_104____________________________________________________________________________________________________________________________________________________________________________S" hidden="1">[3]Sheet3!#REF!</definedName>
    <definedName name="_104________________________________________________________________________________________________________________________________________________________________________0_S" hidden="1">#REF!</definedName>
    <definedName name="_1040______________________________________________________________________________________________________________________________________________________0\SM">'[4]#REF'!#REF!</definedName>
    <definedName name="_1040___________________________________________________________________S" hidden="1">[3]Sheet3!#REF!</definedName>
    <definedName name="_1041___________________________________________________________________S" hidden="1">#REF!</definedName>
    <definedName name="_1042____________________________________________________________________________________________________________________________________________________0_0__123Grap" hidden="1">[1]공문!#REF!</definedName>
    <definedName name="_1042__________________________________________________________________\LA">'[2]#REF'!#REF!</definedName>
    <definedName name="_1043__________________________________________________________________\MID">'[2]#REF'!#REF!</definedName>
    <definedName name="_1044____________________________________________________________________________________________________________________________________________________0_0_F" hidden="1">[3]Sheet3!#REF!</definedName>
    <definedName name="_1044__________________________________________________________________\SM">'[2]#REF'!#REF!</definedName>
    <definedName name="_1045_________________________________________________________________0_F" hidden="1">#REF!</definedName>
    <definedName name="_1046____________________________________________________________________________________________________________________________________________________0_0_S" hidden="1">[3]Sheet3!#REF!</definedName>
    <definedName name="_1046_________________________________________________________________0_S" hidden="1">#REF!</definedName>
    <definedName name="_1047_________________________________________________________________0_S" hidden="1">#REF!</definedName>
    <definedName name="_1048_______________________________________________________________________________________________________________________________________________________123Grap" hidden="1">[1]공문!#REF!</definedName>
    <definedName name="_1048_________________________________________________________________0\SM">'[4]#REF'!#REF!</definedName>
    <definedName name="_1049_______________________________________________________________0_0__123Grap" hidden="1">[1]공문!#REF!</definedName>
    <definedName name="_105________________________________________________________________________________________________________________________________________________________________________0_S" hidden="1">#REF!</definedName>
    <definedName name="_1050____________________________________________________________________________________________________________________________________________________3__Crite">#REF!</definedName>
    <definedName name="_1050_______________________________________________________________0_0_F" hidden="1">[3]Sheet3!#REF!</definedName>
    <definedName name="_1051_______________________________________________________________0_0_S" hidden="1">[3]Sheet3!#REF!</definedName>
    <definedName name="_1052____________________________________________________________________________________________________________________________________________________3__Criteria">#REF!</definedName>
    <definedName name="_1052_______________________________________________________________3__Crite">#REF!</definedName>
    <definedName name="_1053_______________________________________________________________3__Criteria">#REF!</definedName>
    <definedName name="_1054_______________________________________________________________________________________________________________________________________________________F" hidden="1">#REF!</definedName>
    <definedName name="_1054_______________________________________________________________G_0Extract">#REF!</definedName>
    <definedName name="_1055_______________________________________________________________G__Extr">#REF!</definedName>
    <definedName name="_1056_______________________________________________________________________________________________________________________________________________________F" hidden="1">[3]Sheet3!#REF!</definedName>
    <definedName name="_1056_______________________________________________________________G__Extract">#REF!</definedName>
    <definedName name="_1057__________________________________________________________________ME">'[2]#REF'!#REF!</definedName>
    <definedName name="_1058____________________________________________________________________________________________________________________________________________________G_0Extract">#REF!</definedName>
    <definedName name="_1058__________________________________________________________________ME">'[2]#REF'!#REF!</definedName>
    <definedName name="_1059_________________________________________________________________123Grap" hidden="1">[1]공문!#REF!</definedName>
    <definedName name="_106____________________________________________________________________________________________________________________________________________________________________________S" hidden="1">#REF!</definedName>
    <definedName name="_106________________________________________________________________________________________________________________________________________________________________________0\SM">'[4]#REF'!#REF!</definedName>
    <definedName name="_1060____________________________________________________________________________________________________________________________________________________G__Extr">#REF!</definedName>
    <definedName name="_1060________________________________________________________________F" hidden="1">#REF!</definedName>
    <definedName name="_1061________________________________________________________________F" hidden="1">[3]Sheet3!#REF!</definedName>
    <definedName name="_1062____________________________________________________________________________________________________________________________________________________G__Extract">#REF!</definedName>
    <definedName name="_1062________________________________________________________________S" hidden="1">#REF!</definedName>
    <definedName name="_1063________________________________________________________________S" hidden="1">[3]Sheet3!#REF!</definedName>
    <definedName name="_1064_______________________________________________________________________________________________________________________________________________________ME">'[2]#REF'!#REF!</definedName>
    <definedName name="_1064________________________________________________________________S" hidden="1">#REF!</definedName>
    <definedName name="_1065_______________________________________________________________\LA">'[2]#REF'!#REF!</definedName>
    <definedName name="_1066_______________________________________________________________________________________________________________________________________________________ME">'[2]#REF'!#REF!</definedName>
    <definedName name="_1066_______________________________________________________________\MID">'[2]#REF'!#REF!</definedName>
    <definedName name="_1067_______________________________________________________________\SM">'[2]#REF'!#REF!</definedName>
    <definedName name="_1068_______________________________________________________________________________________________________________________________________________________S" hidden="1">#REF!</definedName>
    <definedName name="_1068______________________________________________________________0_F" hidden="1">#REF!</definedName>
    <definedName name="_1069______________________________________________________________0_S" hidden="1">#REF!</definedName>
    <definedName name="_107______________________________________________________________________________________________________________________________________________________________________0_0__123Grap" hidden="1">[1]공문!#REF!</definedName>
    <definedName name="_1070_______________________________________________________________________________________________________________________________________________________S" hidden="1">[3]Sheet3!#REF!</definedName>
    <definedName name="_1070______________________________________________________________0_S" hidden="1">#REF!</definedName>
    <definedName name="_1071______________________________________________________________0\SM">'[4]#REF'!#REF!</definedName>
    <definedName name="_1072_______________________________________________________________________________________________________________________________________________________S" hidden="1">#REF!</definedName>
    <definedName name="_1072____________________________________________________________0_0__123Grap" hidden="1">[1]공문!#REF!</definedName>
    <definedName name="_1073____________________________________________________________0_0_F" hidden="1">[3]Sheet3!#REF!</definedName>
    <definedName name="_1074______________________________________________________________________________________________________________________________________________________\LA">'[2]#REF'!#REF!</definedName>
    <definedName name="_1074____________________________________________________________0_0_S" hidden="1">[3]Sheet3!#REF!</definedName>
    <definedName name="_1075____________________________________________________________3__Crite">#REF!</definedName>
    <definedName name="_1076______________________________________________________________________________________________________________________________________________________\MID">'[2]#REF'!#REF!</definedName>
    <definedName name="_1076_______________________________________________________________________________________________________________________________123Grap" hidden="1">[1]공문!#REF!</definedName>
    <definedName name="_1076____________________________________________________________3__Criteria">#REF!</definedName>
    <definedName name="_1077____________________________________________________________G_0Extract">#REF!</definedName>
    <definedName name="_1078______________________________________________________________________________________________________________________________________________________\SM">'[2]#REF'!#REF!</definedName>
    <definedName name="_1078____________________________________________________________G__Extr">#REF!</definedName>
    <definedName name="_1079____________________________________________________________G__Extract">#REF!</definedName>
    <definedName name="_108___________________________________________________________________________________________________________________________________________________________________________\LA">'[2]#REF'!#REF!</definedName>
    <definedName name="_108______________________________________________________________________________________________________________________________________________________________________0_0_F" hidden="1">[3]Sheet3!#REF!</definedName>
    <definedName name="_1080_____________________________________________________________________________________________________________________________________________________0_F" hidden="1">#REF!</definedName>
    <definedName name="_1080_______________________________________________________________ME">'[2]#REF'!#REF!</definedName>
    <definedName name="_1081_______________________________________________________________ME">'[2]#REF'!#REF!</definedName>
    <definedName name="_1082_____________________________________________________________________________________________________________________________________________________0_S" hidden="1">#REF!</definedName>
    <definedName name="_1082______________________________________________________________123Grap" hidden="1">[1]공문!#REF!</definedName>
    <definedName name="_1083_____________________________________________________________F" hidden="1">#REF!</definedName>
    <definedName name="_1084_____________________________________________________________________________________________________________________________________________________0_S" hidden="1">#REF!</definedName>
    <definedName name="_1084_____________________________________________________________F" hidden="1">[3]Sheet3!#REF!</definedName>
    <definedName name="_1085_____________________________________________________________S" hidden="1">#REF!</definedName>
    <definedName name="_1086_____________________________________________________________________________________________________________________________________________________0\SM">'[4]#REF'!#REF!</definedName>
    <definedName name="_1086_____________________________________________________________S" hidden="1">[3]Sheet3!#REF!</definedName>
    <definedName name="_1087_____________________________________________________________S" hidden="1">#REF!</definedName>
    <definedName name="_1088___________________________________________________________________________________________________________________________________________________0_0__123Grap" hidden="1">[1]공문!#REF!</definedName>
    <definedName name="_1088____________________________________________________________\LA">'[2]#REF'!#REF!</definedName>
    <definedName name="_1089____________________________________________________________\MID">'[2]#REF'!#REF!</definedName>
    <definedName name="_109______________________________________________________________________________________________________________________________________________________________________0_0_S" hidden="1">[3]Sheet3!#REF!</definedName>
    <definedName name="_1090___________________________________________________________________________________________________________________________________________________0_0_F" hidden="1">[3]Sheet3!#REF!</definedName>
    <definedName name="_1090____________________________________________________________\SM">'[2]#REF'!#REF!</definedName>
    <definedName name="_1091___________________________________________________________0_F" hidden="1">#REF!</definedName>
    <definedName name="_1092___________________________________________________________________________________________________________________________________________________0_0_S" hidden="1">[3]Sheet3!#REF!</definedName>
    <definedName name="_1092___________________________________________________________0_S" hidden="1">#REF!</definedName>
    <definedName name="_1093___________________________________________________________0_S" hidden="1">#REF!</definedName>
    <definedName name="_1094___________________________________________________________0\SM">'[4]#REF'!#REF!</definedName>
    <definedName name="_1095___________________________________________________________________________________________________________________________________________________3__Crite">#REF!</definedName>
    <definedName name="_1095_________________________________________________________0_0__123Grap" hidden="1">[1]공문!#REF!</definedName>
    <definedName name="_1096___________________________________________________________________________________________________________________________________________________3__Crite">#REF!</definedName>
    <definedName name="_1096_________________________________________________________0_0_F" hidden="1">[3]Sheet3!#REF!</definedName>
    <definedName name="_1097___________________________________________________________________________________________________________________________________________________3__Criteria">#REF!</definedName>
    <definedName name="_1097_________________________________________________________0_0_S" hidden="1">[3]Sheet3!#REF!</definedName>
    <definedName name="_1098___________________________________________________________________________________________________________________________________________________3__Criteria">#REF!</definedName>
    <definedName name="_1098_________________________________________________________3__Crite">#REF!</definedName>
    <definedName name="_1099______________________________________________________________________________________________________________________________________________________F" hidden="1">#REF!</definedName>
    <definedName name="_1099_________________________________________________________3__Criteria">#REF!</definedName>
    <definedName name="_11____________________________________________________________________________________________________________________________________________________________________________0_F" hidden="1">#REF!</definedName>
    <definedName name="_110___________________________________________________________________________________________________________________________________________________________________________\MID">'[2]#REF'!#REF!</definedName>
    <definedName name="_110_________________________________________________________________________________________________________________________________________________________________________123Grap" hidden="1">[1]공문!#REF!</definedName>
    <definedName name="_1100______________________________________________________________________________________________________________________________________________________F" hidden="1">#REF!</definedName>
    <definedName name="_1100_________________________________________________________G_0Extract">#REF!</definedName>
    <definedName name="_1101______________________________________________________________________________________________________________________________________________________F" hidden="1">[3]Sheet3!#REF!</definedName>
    <definedName name="_1101_________________________________________________________G__Extr">#REF!</definedName>
    <definedName name="_1102______________________________________________________________________________________________________________________________________________________F" hidden="1">[3]Sheet3!#REF!</definedName>
    <definedName name="_1102______________________________________________________________________________________________________________________________F" hidden="1">#REF!</definedName>
    <definedName name="_1102_________________________________________________________G__Extract">#REF!</definedName>
    <definedName name="_1103___________________________________________________________________________________________________________________________________________________G_0Extract">#REF!</definedName>
    <definedName name="_1103______________________________________________________________________________________________________________________________F" hidden="1">[3]Sheet3!#REF!</definedName>
    <definedName name="_1103____________________________________________________________ME">'[2]#REF'!#REF!</definedName>
    <definedName name="_1104___________________________________________________________________________________________________________________________________________________G_0Extract">#REF!</definedName>
    <definedName name="_1104____________________________________________________________ME">'[2]#REF'!#REF!</definedName>
    <definedName name="_1105___________________________________________________________________________________________________________________________________________________G__Extr">#REF!</definedName>
    <definedName name="_1105___________________________________________________________123Grap" hidden="1">[1]공문!#REF!</definedName>
    <definedName name="_1106___________________________________________________________________________________________________________________________________________________G__Extr">#REF!</definedName>
    <definedName name="_1106__________________________________________________________F" hidden="1">#REF!</definedName>
    <definedName name="_1107___________________________________________________________________________________________________________________________________________________G__Extract">#REF!</definedName>
    <definedName name="_1107__________________________________________________________F" hidden="1">[3]Sheet3!#REF!</definedName>
    <definedName name="_1108___________________________________________________________________________________________________________________________________________________G__Extract">#REF!</definedName>
    <definedName name="_1108__________________________________________________________S" hidden="1">#REF!</definedName>
    <definedName name="_1109______________________________________________________________________________________________________________________________________________________ME">'[2]#REF'!#REF!</definedName>
    <definedName name="_1109______________________________________________________________________________________________________________________________S" hidden="1">#REF!</definedName>
    <definedName name="_1109__________________________________________________________S" hidden="1">[3]Sheet3!#REF!</definedName>
    <definedName name="_111______________________________________________________________________________________________________________________________________________________________________3__Crite">#REF!</definedName>
    <definedName name="_1110______________________________________________________________________________________________________________________________________________________ME">'[2]#REF'!#REF!</definedName>
    <definedName name="_1110______________________________________________________________________________________________________________________________S" hidden="1">[3]Sheet3!#REF!</definedName>
    <definedName name="_1110__________________________________________________________S" hidden="1">#REF!</definedName>
    <definedName name="_1111______________________________________________________________________________________________________________________________________________________ME">'[2]#REF'!#REF!</definedName>
    <definedName name="_1111______________________________________________________________________________________________________________________________S" hidden="1">#REF!</definedName>
    <definedName name="_1111_________________________________________________________\LA">'[2]#REF'!#REF!</definedName>
    <definedName name="_1112______________________________________________________________________________________________________________________________________________________ME">'[2]#REF'!#REF!</definedName>
    <definedName name="_1112_____________________________________________________________________________________________________________________________\LA">'[2]#REF'!#REF!</definedName>
    <definedName name="_1112_________________________________________________________\MID">'[2]#REF'!#REF!</definedName>
    <definedName name="_1113______________________________________________________________________________________________________________________________________________________S" hidden="1">#REF!</definedName>
    <definedName name="_1113_____________________________________________________________________________________________________________________________\MID">'[2]#REF'!#REF!</definedName>
    <definedName name="_1113_________________________________________________________\SM">'[2]#REF'!#REF!</definedName>
    <definedName name="_1114______________________________________________________________________________________________________________________________________________________S" hidden="1">#REF!</definedName>
    <definedName name="_1114_____________________________________________________________________________________________________________________________\SM">'[2]#REF'!#REF!</definedName>
    <definedName name="_1114________________________________________________________0_F" hidden="1">#REF!</definedName>
    <definedName name="_1115______________________________________________________________________________________________________________________________________________________S" hidden="1">[3]Sheet3!#REF!</definedName>
    <definedName name="_1115____________________________________________________________________________________________________________________________0_F" hidden="1">#REF!</definedName>
    <definedName name="_1115________________________________________________________0_S" hidden="1">#REF!</definedName>
    <definedName name="_1116______________________________________________________________________________________________________________________________________________________S" hidden="1">[3]Sheet3!#REF!</definedName>
    <definedName name="_1116____________________________________________________________________________________________________________________________0_S" hidden="1">#REF!</definedName>
    <definedName name="_1116________________________________________________________0_S" hidden="1">#REF!</definedName>
    <definedName name="_1117______________________________________________________________________________________________________________________________________________________S" hidden="1">#REF!</definedName>
    <definedName name="_1117____________________________________________________________________________________________________________________________0_S" hidden="1">#REF!</definedName>
    <definedName name="_1117________________________________________________________0\SM">'[4]#REF'!#REF!</definedName>
    <definedName name="_1118______________________________________________________________________________________________________________________________________________________S" hidden="1">#REF!</definedName>
    <definedName name="_1118____________________________________________________________________________________________________________________________0\SM">'[4]#REF'!#REF!</definedName>
    <definedName name="_1118______________________________________________________0_0__123Grap" hidden="1">[1]공문!#REF!</definedName>
    <definedName name="_1119_____________________________________________________________________________________________________________________________________________________\LA">'[2]#REF'!#REF!</definedName>
    <definedName name="_1119__________________________________________________________________________________________________________________________0_0__123Grap" hidden="1">[1]공문!#REF!</definedName>
    <definedName name="_1119______________________________________________________0_0_F" hidden="1">[3]Sheet3!#REF!</definedName>
    <definedName name="_112___________________________________________________________________________________________________________________________________________________________________________\SM">'[2]#REF'!#REF!</definedName>
    <definedName name="_112______________________________________________________________________________________________________________________________________________________________________3__Criteria">#REF!</definedName>
    <definedName name="_1120_____________________________________________________________________________________________________________________________________________________\LA">'[2]#REF'!#REF!</definedName>
    <definedName name="_1120__________________________________________________________________________________________________________________________0_0_F" hidden="1">[3]Sheet3!#REF!</definedName>
    <definedName name="_1120______________________________________________________0_0_S" hidden="1">[3]Sheet3!#REF!</definedName>
    <definedName name="_1121_____________________________________________________________________________________________________________________________________________________\MID">'[2]#REF'!#REF!</definedName>
    <definedName name="_1121__________________________________________________________________________________________________________________________0_0_S" hidden="1">[3]Sheet3!#REF!</definedName>
    <definedName name="_1121______________________________________________________3__Crite">#REF!</definedName>
    <definedName name="_1122_____________________________________________________________________________________________________________________________________________________\MID">'[2]#REF'!#REF!</definedName>
    <definedName name="_1122______________________________________________________3__Criteria">#REF!</definedName>
    <definedName name="_1123_____________________________________________________________________________________________________________________________________________________\SM">'[2]#REF'!#REF!</definedName>
    <definedName name="_1123__________________________________________________________________________________________________________________________3__Crite">#REF!</definedName>
    <definedName name="_1123______________________________________________________G_0Extract">#REF!</definedName>
    <definedName name="_1124_____________________________________________________________________________________________________________________________________________________\SM">'[2]#REF'!#REF!</definedName>
    <definedName name="_1124__________________________________________________________________________________________________________________________3__Criteria">#REF!</definedName>
    <definedName name="_1124______________________________________________________G__Extr">#REF!</definedName>
    <definedName name="_1125____________________________________________________________________________________________________________________________________________________0_F" hidden="1">#REF!</definedName>
    <definedName name="_1125______________________________________________________G__Extract">#REF!</definedName>
    <definedName name="_1126____________________________________________________________________________________________________________________________________________________0_F" hidden="1">#REF!</definedName>
    <definedName name="_1126_________________________________________________________ME">'[2]#REF'!#REF!</definedName>
    <definedName name="_1127____________________________________________________________________________________________________________________________________________________0_S" hidden="1">#REF!</definedName>
    <definedName name="_1127__________________________________________________________________________________________________________________________G_0Extract">#REF!</definedName>
    <definedName name="_1127_________________________________________________________ME">'[2]#REF'!#REF!</definedName>
    <definedName name="_1128____________________________________________________________________________________________________________________________________________________0_S" hidden="1">#REF!</definedName>
    <definedName name="_1128__________________________________________________________________________________________________________________________G__Extr">#REF!</definedName>
    <definedName name="_1129____________________________________________________________________________________________________________________________________________________0_S" hidden="1">#REF!</definedName>
    <definedName name="_1129__________________________________________________________________________________________________________________________G__Extract">#REF!</definedName>
    <definedName name="_113_________________________________________________________________________________________________________________________________________________________________________F" hidden="1">#REF!</definedName>
    <definedName name="_1130____________________________________________________________________________________________________________________________________________________0_S" hidden="1">#REF!</definedName>
    <definedName name="_1130_____________________________________________________________________________________________________________________________ME">'[2]#REF'!#REF!</definedName>
    <definedName name="_1131____________________________________________________________________________________________________________________________________________________0\SM">'[4]#REF'!#REF!</definedName>
    <definedName name="_1131_____________________________________________________________________________________________________________________________ME">'[2]#REF'!#REF!</definedName>
    <definedName name="_1132____________________________________________________________________________________________________________________________________________________0\SM">'[4]#REF'!#REF!</definedName>
    <definedName name="_1133__________________________________________________________________________________________________________________________________________________0_0__123Grap" hidden="1">[1]공문!#REF!</definedName>
    <definedName name="_1134__________________________________________________________________________________________________________________________________________________0_0__123Grap" hidden="1">[1]공문!#REF!</definedName>
    <definedName name="_1135__________________________________________________________________________________________________________________________________________________0_0_F" hidden="1">[3]Sheet3!#REF!</definedName>
    <definedName name="_1136__________________________________________________________________________________________________________________________________________________0_0_F" hidden="1">[3]Sheet3!#REF!</definedName>
    <definedName name="_1137__________________________________________________________________________________________________________________________________________________0_0_S" hidden="1">[3]Sheet3!#REF!</definedName>
    <definedName name="_1138__________________________________________________________________________________________________________________________________________________0_0_S" hidden="1">[3]Sheet3!#REF!</definedName>
    <definedName name="_1139__________________________________________________________________________________________________________________________________________________3__Crite">#REF!</definedName>
    <definedName name="_114__________________________________________________________________________________________________________________________________________________________________________0_F" hidden="1">#REF!</definedName>
    <definedName name="_114_________________________________________________________________________________________________________________________________________________________________________F" hidden="1">[3]Sheet3!#REF!</definedName>
    <definedName name="_1141__________________________________________________________________________________________________________________________________________________3__Crite">#REF!</definedName>
    <definedName name="_1141__________________________________________________________________________________________________________________________________________________3__Criteria">#REF!</definedName>
    <definedName name="_1143__________________________________________________________________________________________________________________________________________________3__Criteria">#REF!</definedName>
    <definedName name="_1145__________________________________________________________________________________________________________________________________________________G_0Extract">#REF!</definedName>
    <definedName name="_1147__________________________________________________________________________________________________________________________________________________G__Extr">#REF!</definedName>
    <definedName name="_1149__________________________________________________________________________________________________________________________________________________G__Extract">#REF!</definedName>
    <definedName name="_1149__________________________________________________________________________________________________________________________________________________G_0Extract">#REF!</definedName>
    <definedName name="_115______________________________________________________________________________________________________________________________________________________________________G_0Extract">#REF!</definedName>
    <definedName name="_1151_____________________________________________________________________________________________________________________________________________________ME">'[2]#REF'!#REF!</definedName>
    <definedName name="_1151__________________________________________________________________________________________________________________________________________________G__Extr">#REF!</definedName>
    <definedName name="_1153_____________________________________________________________________________________________________________________________________________________ME">'[2]#REF'!#REF!</definedName>
    <definedName name="_1153__________________________________________________________________________________________________________________________________________________G__Extract">#REF!</definedName>
    <definedName name="_1155_____________________________________________________________________________________________________________________________________________________ME">'[2]#REF'!#REF!</definedName>
    <definedName name="_1157_____________________________________________________________________________________________________________________________________________________ME">'[2]#REF'!#REF!</definedName>
    <definedName name="_116__________________________________________________________________________________________________________________________________________________________________________0_S" hidden="1">#REF!</definedName>
    <definedName name="_116______________________________________________________________________________________________________________________________________________________________________G__Extr">#REF!</definedName>
    <definedName name="_1168___________________________________________________________________________________________________________________________123Grap" hidden="1">[1]공문!#REF!</definedName>
    <definedName name="_117______________________________________________________________________________________________________________________________________________________________________G__Extract">#REF!</definedName>
    <definedName name="_1175___________________________________________________________________________________________________________________________________________________123Grap" hidden="1">[1]공문!#REF!</definedName>
    <definedName name="_1178__________________________________________________________________________________________________________________________________________________F" hidden="1">#REF!</definedName>
    <definedName name="_118__________________________________________________________________________________________________________________________________________________________________________0_S" hidden="1">#REF!</definedName>
    <definedName name="_118_________________________________________________________________________________________________________________________________________________________________________ME">'[2]#REF'!#REF!</definedName>
    <definedName name="_1180__________________________________________________________________________________________________________________________________________________F" hidden="1">[3]Sheet3!#REF!</definedName>
    <definedName name="_1182__________________________________________________________________________________________________________________________________________________S" hidden="1">#REF!</definedName>
    <definedName name="_1184__________________________________________________________________________________________________________________________________________________S" hidden="1">[3]Sheet3!#REF!</definedName>
    <definedName name="_1186__________________________________________________________________________________________________________________________________________________S" hidden="1">#REF!</definedName>
    <definedName name="_1188_________________________________________________________________________________________________________________________________________________\LA">'[2]#REF'!#REF!</definedName>
    <definedName name="_119_________________________________________________________________________________________________________________________________________________________________________ME">'[2]#REF'!#REF!</definedName>
    <definedName name="_1190_________________________________________________________________________________________________________________________________________________\MID">'[2]#REF'!#REF!</definedName>
    <definedName name="_1192_________________________________________________________________________________________________________________________________________________\SM">'[2]#REF'!#REF!</definedName>
    <definedName name="_1194________________________________________________________________________________________________________________________________________________0_F" hidden="1">#REF!</definedName>
    <definedName name="_1194__________________________________________________________________________________________________________________________F" hidden="1">#REF!</definedName>
    <definedName name="_1195__________________________________________________________________________________________________________________________F" hidden="1">[3]Sheet3!#REF!</definedName>
    <definedName name="_1196________________________________________________________________________________________________________________________________________________0_S" hidden="1">#REF!</definedName>
    <definedName name="_1198________________________________________________________________________________________________________________________________________________0_S" hidden="1">#REF!</definedName>
    <definedName name="_12______________________________________________________________________________________________________________________________________________________________________________S" hidden="1">[3]Sheet3!#REF!</definedName>
    <definedName name="_12____________________________________________________________________________________________________________________________________________________________________________0_S" hidden="1">#REF!</definedName>
    <definedName name="_120__________________________________________________________________________________________________________________________________________________________________________0\SM">'[4]#REF'!#REF!</definedName>
    <definedName name="_120_________________________________________________________________________________________________________________________________________________________________________S" hidden="1">#REF!</definedName>
    <definedName name="_1200________________________________________________________________________________________________________________________________________________0\SM">'[4]#REF'!#REF!</definedName>
    <definedName name="_1201__________________________________________________________________________________________________________________________S" hidden="1">#REF!</definedName>
    <definedName name="_1202______________________________________________________________________________________________________________________________________________0_0__123Grap" hidden="1">[1]공문!#REF!</definedName>
    <definedName name="_1202__________________________________________________________________________________________________________________________S" hidden="1">[3]Sheet3!#REF!</definedName>
    <definedName name="_1203__________________________________________________________________________________________________________________________S" hidden="1">#REF!</definedName>
    <definedName name="_1204______________________________________________________________________________________________________________________________________________0_0_F" hidden="1">[3]Sheet3!#REF!</definedName>
    <definedName name="_1204_________________________________________________________________________________________________________________________\LA">'[2]#REF'!#REF!</definedName>
    <definedName name="_1205_________________________________________________________________________________________________________________________\MID">'[2]#REF'!#REF!</definedName>
    <definedName name="_1206______________________________________________________________________________________________________________________________________________0_0_S" hidden="1">[3]Sheet3!#REF!</definedName>
    <definedName name="_1206_________________________________________________________________________________________________________________________\SM">'[2]#REF'!#REF!</definedName>
    <definedName name="_1207________________________________________________________________________________________________________________________0_F" hidden="1">#REF!</definedName>
    <definedName name="_1208______________________________________________________________________________________________________________________________________________3__Crite">#REF!</definedName>
    <definedName name="_1208________________________________________________________________________________________________________________________0_S" hidden="1">#REF!</definedName>
    <definedName name="_1209________________________________________________________________________________________________________________________0_S" hidden="1">#REF!</definedName>
    <definedName name="_121_________________________________________________________________________________________________________________________________________________________________________S" hidden="1">[3]Sheet3!#REF!</definedName>
    <definedName name="_1210______________________________________________________________________________________________________________________________________________3__Criteria">#REF!</definedName>
    <definedName name="_1210________________________________________________________________________________________________________________________0\SM">'[4]#REF'!#REF!</definedName>
    <definedName name="_1211______________________________________________________________________________________________________________________0_0__123Grap" hidden="1">[1]공문!#REF!</definedName>
    <definedName name="_1212______________________________________________________________________________________________________________________0_0_F" hidden="1">[3]Sheet3!#REF!</definedName>
    <definedName name="_1213______________________________________________________________________________________________________________________0_0_S" hidden="1">[3]Sheet3!#REF!</definedName>
    <definedName name="_1214______________________________________________________________________________________________________________________________________________G_0Extract">#REF!</definedName>
    <definedName name="_1215___________________________________________________________________________________________________________________________________________________123Grap" hidden="1">[1]공문!#REF!</definedName>
    <definedName name="_1215______________________________________________________________________________________________________________________3__Crite">#REF!</definedName>
    <definedName name="_1216______________________________________________________________________________________________________________________________________________G__Extr">#REF!</definedName>
    <definedName name="_1216______________________________________________________________________________________________________________________3__Criteria">#REF!</definedName>
    <definedName name="_1218______________________________________________________________________________________________________________________________________________G__Extract">#REF!</definedName>
    <definedName name="_1219______________________________________________________________________________________________________________________G_0Extract">#REF!</definedName>
    <definedName name="_122_________________________________________________________________________________________________________________________________________________________________________S" hidden="1">#REF!</definedName>
    <definedName name="_122________________________________________________________________________________________________________________________________________________________________________0_0__123Grap" hidden="1">[1]공문!#REF!</definedName>
    <definedName name="_1220_________________________________________________________________________________________________________________________________________________ME">'[2]#REF'!#REF!</definedName>
    <definedName name="_1220______________________________________________________________________________________________________________________G__Extr">#REF!</definedName>
    <definedName name="_1221______________________________________________________________________________________________________________________G__Extract">#REF!</definedName>
    <definedName name="_1222_________________________________________________________________________________________________________________________________________________ME">'[2]#REF'!#REF!</definedName>
    <definedName name="_1222_________________________________________________________________________________________________________________________ME">'[2]#REF'!#REF!</definedName>
    <definedName name="_1223_________________________________________________________________________________________________________________________ME">'[2]#REF'!#REF!</definedName>
    <definedName name="_123________________________________________________________________________________________________________________________________________________________________________\LA">'[2]#REF'!#REF!</definedName>
    <definedName name="_124________________________________________________________________________________________________________________________________________________________________________\MID">'[2]#REF'!#REF!</definedName>
    <definedName name="_124________________________________________________________________________________________________________________________________________________________________________0_0_F" hidden="1">[3]Sheet3!#REF!</definedName>
    <definedName name="_1243__________________________________________________________________________________________________________________________________________________F" hidden="1">#REF!</definedName>
    <definedName name="_1244_______________________________________________________________________________________________________________________________________________123Grap" hidden="1">[1]공문!#REF!</definedName>
    <definedName name="_1245__________________________________________________________________________________________________________________________________________________F" hidden="1">[3]Sheet3!#REF!</definedName>
    <definedName name="_1247______________________________________________________________________________________________________________________________________________F" hidden="1">#REF!</definedName>
    <definedName name="_1249______________________________________________________________________________________________________________________________________________F" hidden="1">[3]Sheet3!#REF!</definedName>
    <definedName name="_125________________________________________________________________________________________________________________________________________________________________________\SM">'[2]#REF'!#REF!</definedName>
    <definedName name="_1251______________________________________________________________________________________________________________________________________________S" hidden="1">#REF!</definedName>
    <definedName name="_1252__________________________________________________________________________________________________________________________________________________S" hidden="1">#REF!</definedName>
    <definedName name="_1253______________________________________________________________________________________________________________________________________________S" hidden="1">[3]Sheet3!#REF!</definedName>
    <definedName name="_1254__________________________________________________________________________________________________________________________________________________S" hidden="1">[3]Sheet3!#REF!</definedName>
    <definedName name="_1255______________________________________________________________________________________________________________________________________________S" hidden="1">#REF!</definedName>
    <definedName name="_1256__________________________________________________________________________________________________________________________________________________S" hidden="1">#REF!</definedName>
    <definedName name="_1257_____________________________________________________________________________________________________________________________________________\LA">'[2]#REF'!#REF!</definedName>
    <definedName name="_1258_________________________________________________________________________________________________________________________________________________\LA">'[2]#REF'!#REF!</definedName>
    <definedName name="_1259_____________________________________________________________________________________________________________________________________________\MID">'[2]#REF'!#REF!</definedName>
    <definedName name="_126________________________________________________________________________________________________________________________________________________________________________0_0_S" hidden="1">[3]Sheet3!#REF!</definedName>
    <definedName name="_126_______________________________________________________________________________________________________________________________________________________________________0_F" hidden="1">#REF!</definedName>
    <definedName name="_1260_________________________________________________________________________________________________________________________________________________\MID">'[2]#REF'!#REF!</definedName>
    <definedName name="_1260_______________________________________________________________________________________________________________________123Grap" hidden="1">[1]공문!#REF!</definedName>
    <definedName name="_1261_____________________________________________________________________________________________________________________________________________\SM">'[2]#REF'!#REF!</definedName>
    <definedName name="_1262_________________________________________________________________________________________________________________________________________________\SM">'[2]#REF'!#REF!</definedName>
    <definedName name="_1263____________________________________________________________________________________________________________________________________________0_F" hidden="1">#REF!</definedName>
    <definedName name="_1264________________________________________________________________________________________________________________________________________________0_F" hidden="1">#REF!</definedName>
    <definedName name="_1265____________________________________________________________________________________________________________________________________________0_S" hidden="1">#REF!</definedName>
    <definedName name="_1266________________________________________________________________________________________________________________________________________________0_S" hidden="1">#REF!</definedName>
    <definedName name="_1267____________________________________________________________________________________________________________________________________________0_S" hidden="1">#REF!</definedName>
    <definedName name="_1268________________________________________________________________________________________________________________________________________________0_S" hidden="1">#REF!</definedName>
    <definedName name="_1269____________________________________________________________________________________________________________________________________________0\SM">'[4]#REF'!#REF!</definedName>
    <definedName name="_127_______________________________________________________________________________________________________________________________________________________________________0_S" hidden="1">#REF!</definedName>
    <definedName name="_1270________________________________________________________________________________________________________________________________________________0\SM">'[4]#REF'!#REF!</definedName>
    <definedName name="_1271__________________________________________________________________________________________________________________________________________0_0__123Grap" hidden="1">[1]공문!#REF!</definedName>
    <definedName name="_1272______________________________________________________________________________________________________________________________________________0_0__123Grap" hidden="1">[1]공문!#REF!</definedName>
    <definedName name="_1273__________________________________________________________________________________________________________________________________________0_0_F" hidden="1">[3]Sheet3!#REF!</definedName>
    <definedName name="_1274______________________________________________________________________________________________________________________________________________0_0_F" hidden="1">[3]Sheet3!#REF!</definedName>
    <definedName name="_1275__________________________________________________________________________________________________________________________________________0_0_S" hidden="1">[3]Sheet3!#REF!</definedName>
    <definedName name="_1276______________________________________________________________________________________________________________________________________________0_0_S" hidden="1">[3]Sheet3!#REF!</definedName>
    <definedName name="_1277__________________________________________________________________________________________________________________________________________3__Crite">#REF!</definedName>
    <definedName name="_1279______________________________________________________________________________________________________________________________________________3__Crite">#REF!</definedName>
    <definedName name="_1279__________________________________________________________________________________________________________________________________________3__Criteria">#REF!</definedName>
    <definedName name="_128___________________________________________________________________________________________________________________________________________________________________________123Grap" hidden="1">[1]공문!#REF!</definedName>
    <definedName name="_128_______________________________________________________________________________________________________________________________________________________________________0_S" hidden="1">#REF!</definedName>
    <definedName name="_1281______________________________________________________________________________________________________________________________________________3__Criteria">#REF!</definedName>
    <definedName name="_1283__________________________________________________________________________________________________________________________________________G_0Extract">#REF!</definedName>
    <definedName name="_1285__________________________________________________________________________________________________________________________________________G__Extr">#REF!</definedName>
    <definedName name="_1286______________________________________________________________________________________________________________________F" hidden="1">#REF!</definedName>
    <definedName name="_1287______________________________________________________________________________________________________________________________________________G_0Extract">#REF!</definedName>
    <definedName name="_1287__________________________________________________________________________________________________________________________________________G__Extract">#REF!</definedName>
    <definedName name="_1287______________________________________________________________________________________________________________________F" hidden="1">[3]Sheet3!#REF!</definedName>
    <definedName name="_1289______________________________________________________________________________________________________________________________________________G__Extr">#REF!</definedName>
    <definedName name="_1289_____________________________________________________________________________________________________________________________________________ME">'[2]#REF'!#REF!</definedName>
    <definedName name="_129_______________________________________________________________________________________________________________________________________________________________________0\SM">'[4]#REF'!#REF!</definedName>
    <definedName name="_1291______________________________________________________________________________________________________________________________________________G__Extract">#REF!</definedName>
    <definedName name="_1291_____________________________________________________________________________________________________________________________________________ME">'[2]#REF'!#REF!</definedName>
    <definedName name="_1293_________________________________________________________________________________________________________________________________________________ME">'[2]#REF'!#REF!</definedName>
    <definedName name="_1293______________________________________________________________________________________________________________________S" hidden="1">#REF!</definedName>
    <definedName name="_1294______________________________________________________________________________________________________________________S" hidden="1">[3]Sheet3!#REF!</definedName>
    <definedName name="_1295_________________________________________________________________________________________________________________________________________________ME">'[2]#REF'!#REF!</definedName>
    <definedName name="_1295______________________________________________________________________________________________________________________S" hidden="1">#REF!</definedName>
    <definedName name="_1296_____________________________________________________________________________________________________________________\LA">'[2]#REF'!#REF!</definedName>
    <definedName name="_1297_____________________________________________________________________________________________________________________\MID">'[2]#REF'!#REF!</definedName>
    <definedName name="_1298_____________________________________________________________________________________________________________________\SM">'[2]#REF'!#REF!</definedName>
    <definedName name="_1299____________________________________________________________________________________________________________________0_F" hidden="1">#REF!</definedName>
    <definedName name="_13____________________________________________________________________________________________________________________________________________________________________________0_S" hidden="1">#REF!</definedName>
    <definedName name="_130________________________________________________________________________________________________________________________________________________________________________3__Crite">#REF!</definedName>
    <definedName name="_130_____________________________________________________________________________________________________________________________________________________________________0_0__123Grap" hidden="1">[1]공문!#REF!</definedName>
    <definedName name="_1300____________________________________________________________________________________________________________________0_S" hidden="1">#REF!</definedName>
    <definedName name="_1301____________________________________________________________________________________________________________________0_S" hidden="1">#REF!</definedName>
    <definedName name="_1302____________________________________________________________________________________________________________________0\SM">'[4]#REF'!#REF!</definedName>
    <definedName name="_1303__________________________________________________________________________________________________________________0_0__123Grap" hidden="1">[1]공문!#REF!</definedName>
    <definedName name="_1304__________________________________________________________________________________________________________________0_0_F" hidden="1">[3]Sheet3!#REF!</definedName>
    <definedName name="_1305__________________________________________________________________________________________________________________0_0_S" hidden="1">[3]Sheet3!#REF!</definedName>
    <definedName name="_1307__________________________________________________________________________________________________________________3__Crite">#REF!</definedName>
    <definedName name="_1308__________________________________________________________________________________________________________________3__Criteria">#REF!</definedName>
    <definedName name="_131_____________________________________________________________________________________________________________________________________________________________________0_0_F" hidden="1">[3]Sheet3!#REF!</definedName>
    <definedName name="_1311__________________________________________________________________________________________________________________G_0Extract">#REF!</definedName>
    <definedName name="_1312__________________________________________________________________________________________________________________G__Extr">#REF!</definedName>
    <definedName name="_1313___________________________________________________________________________________________________________________________________________123Grap" hidden="1">[1]공문!#REF!</definedName>
    <definedName name="_1313__________________________________________________________________________________________________________________G__Extract">#REF!</definedName>
    <definedName name="_1314_____________________________________________________________________________________________________________________ME">'[2]#REF'!#REF!</definedName>
    <definedName name="_1315_____________________________________________________________________________________________________________________ME">'[2]#REF'!#REF!</definedName>
    <definedName name="_1316__________________________________________________________________________________________________________________________________________F" hidden="1">#REF!</definedName>
    <definedName name="_1318__________________________________________________________________________________________________________________________________________F" hidden="1">[3]Sheet3!#REF!</definedName>
    <definedName name="_132________________________________________________________________________________________________________________________________________________________________________3__Criteria">#REF!</definedName>
    <definedName name="_132_____________________________________________________________________________________________________________________________________________________________________0_0_S" hidden="1">[3]Sheet3!#REF!</definedName>
    <definedName name="_1320__________________________________________________________________________________________________________________________________________S" hidden="1">#REF!</definedName>
    <definedName name="_1322__________________________________________________________________________________________________________________________________________S" hidden="1">[3]Sheet3!#REF!</definedName>
    <definedName name="_1324__________________________________________________________________________________________________________________________________________S" hidden="1">#REF!</definedName>
    <definedName name="_1326_________________________________________________________________________________________________________________________________________\LA">'[2]#REF'!#REF!</definedName>
    <definedName name="_1328_________________________________________________________________________________________________________________________________________\MID">'[2]#REF'!#REF!</definedName>
    <definedName name="_133________________________________________________________________________________________________________________________________________________________________________123Grap" hidden="1">[1]공문!#REF!</definedName>
    <definedName name="_1330_________________________________________________________________________________________________________________________________________\SM">'[2]#REF'!#REF!</definedName>
    <definedName name="_1332________________________________________________________________________________________________________________________________________0_F" hidden="1">#REF!</definedName>
    <definedName name="_1334________________________________________________________________________________________________________________________________________0_S" hidden="1">#REF!</definedName>
    <definedName name="_1336________________________________________________________________________________________________________________________________________0_S" hidden="1">#REF!</definedName>
    <definedName name="_1338________________________________________________________________________________________________________________________________________0\SM">'[4]#REF'!#REF!</definedName>
    <definedName name="_134___________________________________________________________________________________________________________________________________________________________________________F" hidden="1">#REF!</definedName>
    <definedName name="_134_____________________________________________________________________________________________________________________________________________________________________3__Crite">#REF!</definedName>
    <definedName name="_1340______________________________________________________________________________________________________________________________________0_0__123Grap" hidden="1">[1]공문!#REF!</definedName>
    <definedName name="_1342______________________________________________________________________________________________________________________________________0_0_F" hidden="1">[3]Sheet3!#REF!</definedName>
    <definedName name="_1344______________________________________________________________________________________________________________________________________0_0_S" hidden="1">[3]Sheet3!#REF!</definedName>
    <definedName name="_1346______________________________________________________________________________________________________________________________________3__Crite">#REF!</definedName>
    <definedName name="_1348______________________________________________________________________________________________________________________________________3__Criteria">#REF!</definedName>
    <definedName name="_135_____________________________________________________________________________________________________________________________________________________________________3__Criteria">#REF!</definedName>
    <definedName name="_1352______________________________________________________________________________________________________________________________________G_0Extract">#REF!</definedName>
    <definedName name="_1352___________________________________________________________________________________________________________________123Grap" hidden="1">[1]공문!#REF!</definedName>
    <definedName name="_1353_______________________________________________________________________________________________________________________________________________123Grap" hidden="1">[1]공문!#REF!</definedName>
    <definedName name="_1354______________________________________________________________________________________________________________________________________G__Extr">#REF!</definedName>
    <definedName name="_1356______________________________________________________________________________________________________________________________________G__Extract">#REF!</definedName>
    <definedName name="_1358_________________________________________________________________________________________________________________________________________ME">'[2]#REF'!#REF!</definedName>
    <definedName name="_136___________________________________________________________________________________________________________________________________________________________________________F" hidden="1">[3]Sheet3!#REF!</definedName>
    <definedName name="_136________________________________________________________________________________________________________________________________________________________________________F" hidden="1">#REF!</definedName>
    <definedName name="_1360_________________________________________________________________________________________________________________________________________ME">'[2]#REF'!#REF!</definedName>
    <definedName name="_137________________________________________________________________________________________________________________________________________________________________________F" hidden="1">[3]Sheet3!#REF!</definedName>
    <definedName name="_1378__________________________________________________________________________________________________________________F" hidden="1">#REF!</definedName>
    <definedName name="_1379__________________________________________________________________________________________________________________F" hidden="1">[3]Sheet3!#REF!</definedName>
    <definedName name="_138________________________________________________________________________________________________________________________________________________________________________G_0Extract">#REF!</definedName>
    <definedName name="_138_____________________________________________________________________________________________________________________________________________________________________G_0Extract">#REF!</definedName>
    <definedName name="_1381______________________________________________________________________________________________________________________________________________F" hidden="1">#REF!</definedName>
    <definedName name="_1382_______________________________________________________________________________________________________________________________________123Grap" hidden="1">[1]공문!#REF!</definedName>
    <definedName name="_1383______________________________________________________________________________________________________________________________________________F" hidden="1">[3]Sheet3!#REF!</definedName>
    <definedName name="_1385______________________________________________________________________________________________________________________________________F" hidden="1">#REF!</definedName>
    <definedName name="_1385__________________________________________________________________________________________________________________S" hidden="1">#REF!</definedName>
    <definedName name="_1386__________________________________________________________________________________________________________________S" hidden="1">[3]Sheet3!#REF!</definedName>
    <definedName name="_1387______________________________________________________________________________________________________________________________________F" hidden="1">[3]Sheet3!#REF!</definedName>
    <definedName name="_1387__________________________________________________________________________________________________________________S" hidden="1">#REF!</definedName>
    <definedName name="_1388_________________________________________________________________________________________________________________\LA">'[2]#REF'!#REF!</definedName>
    <definedName name="_1389______________________________________________________________________________________________________________________________________S" hidden="1">#REF!</definedName>
    <definedName name="_1389_________________________________________________________________________________________________________________\MID">'[2]#REF'!#REF!</definedName>
    <definedName name="_139_____________________________________________________________________________________________________________________________________________________________________G__Extr">#REF!</definedName>
    <definedName name="_1390______________________________________________________________________________________________________________________________________________S" hidden="1">#REF!</definedName>
    <definedName name="_1390_________________________________________________________________________________________________________________\SM">'[2]#REF'!#REF!</definedName>
    <definedName name="_1391______________________________________________________________________________________________________________________________________S" hidden="1">[3]Sheet3!#REF!</definedName>
    <definedName name="_1391________________________________________________________________________________________________________________0_F" hidden="1">#REF!</definedName>
    <definedName name="_1392______________________________________________________________________________________________________________________________________________S" hidden="1">[3]Sheet3!#REF!</definedName>
    <definedName name="_1392________________________________________________________________________________________________________________0_S" hidden="1">#REF!</definedName>
    <definedName name="_1393______________________________________________________________________________________________________________________________________S" hidden="1">#REF!</definedName>
    <definedName name="_1393________________________________________________________________________________________________________________0_S" hidden="1">#REF!</definedName>
    <definedName name="_1394______________________________________________________________________________________________________________________________________________S" hidden="1">#REF!</definedName>
    <definedName name="_1394________________________________________________________________________________________________________________0\SM">'[4]#REF'!#REF!</definedName>
    <definedName name="_1395_____________________________________________________________________________________________________________________________________\LA">'[2]#REF'!#REF!</definedName>
    <definedName name="_1395______________________________________________________________________________________________________________0_0__123Grap" hidden="1">[1]공문!#REF!</definedName>
    <definedName name="_1396_____________________________________________________________________________________________________________________________________________\LA">'[2]#REF'!#REF!</definedName>
    <definedName name="_1396______________________________________________________________________________________________________________0_0_F" hidden="1">[3]Sheet3!#REF!</definedName>
    <definedName name="_1397_____________________________________________________________________________________________________________________________________\MID">'[2]#REF'!#REF!</definedName>
    <definedName name="_1397______________________________________________________________________________________________________________0_0_S" hidden="1">[3]Sheet3!#REF!</definedName>
    <definedName name="_1398_____________________________________________________________________________________________________________________________________________\MID">'[2]#REF'!#REF!</definedName>
    <definedName name="_1399_____________________________________________________________________________________________________________________________________\SM">'[2]#REF'!#REF!</definedName>
    <definedName name="_1399______________________________________________________________________________________________________________3__Crite">#REF!</definedName>
    <definedName name="_14______________________________________________________________________________________________________________________________________________________________________________S" hidden="1">#REF!</definedName>
    <definedName name="_14____________________________________________________________________________________________________________________________________________________________________________0\SM">'[4]#REF'!#REF!</definedName>
    <definedName name="_140________________________________________________________________________________________________________________________________________________________________________G__Extr">#REF!</definedName>
    <definedName name="_140_____________________________________________________________________________________________________________________________________________________________________G__Extract">#REF!</definedName>
    <definedName name="_1400_____________________________________________________________________________________________________________________________________________\SM">'[2]#REF'!#REF!</definedName>
    <definedName name="_1400______________________________________________________________________________________________________________3__Criteria">#REF!</definedName>
    <definedName name="_1401____________________________________________________________________________________________________________________________________0_F" hidden="1">#REF!</definedName>
    <definedName name="_1402____________________________________________________________________________________________________________________________________________0_F" hidden="1">#REF!</definedName>
    <definedName name="_1403____________________________________________________________________________________________________________________________________0_S" hidden="1">#REF!</definedName>
    <definedName name="_1403______________________________________________________________________________________________________________G_0Extract">#REF!</definedName>
    <definedName name="_1404____________________________________________________________________________________________________________________________________________0_S" hidden="1">#REF!</definedName>
    <definedName name="_1404______________________________________________________________________________________________________________G__Extr">#REF!</definedName>
    <definedName name="_1405____________________________________________________________________________________________________________________________________0_S" hidden="1">#REF!</definedName>
    <definedName name="_1405______________________________________________________________________________________________________________G__Extract">#REF!</definedName>
    <definedName name="_1406____________________________________________________________________________________________________________________________________________0_S" hidden="1">#REF!</definedName>
    <definedName name="_1406_________________________________________________________________________________________________________________ME">'[2]#REF'!#REF!</definedName>
    <definedName name="_1407____________________________________________________________________________________________________________________________________0\SM">'[4]#REF'!#REF!</definedName>
    <definedName name="_1407_________________________________________________________________________________________________________________ME">'[2]#REF'!#REF!</definedName>
    <definedName name="_1408____________________________________________________________________________________________________________________________________________0\SM">'[4]#REF'!#REF!</definedName>
    <definedName name="_1409__________________________________________________________________________________________________________________________________0_0__123Grap" hidden="1">[1]공문!#REF!</definedName>
    <definedName name="_141________________________________________________________________________________________________________________________________________________________________________ME">'[2]#REF'!#REF!</definedName>
    <definedName name="_1410__________________________________________________________________________________________________________________________________________0_0__123Grap" hidden="1">[1]공문!#REF!</definedName>
    <definedName name="_1411__________________________________________________________________________________________________________________________________0_0_F" hidden="1">[3]Sheet3!#REF!</definedName>
    <definedName name="_1412__________________________________________________________________________________________________________________________________________0_0_F" hidden="1">[3]Sheet3!#REF!</definedName>
    <definedName name="_1413__________________________________________________________________________________________________________________________________0_0_S" hidden="1">[3]Sheet3!#REF!</definedName>
    <definedName name="_1414__________________________________________________________________________________________________________________________________________0_0_S" hidden="1">[3]Sheet3!#REF!</definedName>
    <definedName name="_1415__________________________________________________________________________________________________________________________________3__Crite">#REF!</definedName>
    <definedName name="_1417__________________________________________________________________________________________________________________________________________3__Crite">#REF!</definedName>
    <definedName name="_1417__________________________________________________________________________________________________________________________________3__Criteria">#REF!</definedName>
    <definedName name="_1419__________________________________________________________________________________________________________________________________________3__Criteria">#REF!</definedName>
    <definedName name="_142________________________________________________________________________________________________________________________________________________________________________G__Extract">#REF!</definedName>
    <definedName name="_142________________________________________________________________________________________________________________________________________________________________________ME">'[2]#REF'!#REF!</definedName>
    <definedName name="_1421__________________________________________________________________________________________________________________________________G_0Extract">#REF!</definedName>
    <definedName name="_1423__________________________________________________________________________________________________________________________________G__Extr">#REF!</definedName>
    <definedName name="_1425__________________________________________________________________________________________________________________________________________G_0Extract">#REF!</definedName>
    <definedName name="_1425__________________________________________________________________________________________________________________________________G__Extract">#REF!</definedName>
    <definedName name="_1427__________________________________________________________________________________________________________________________________________G__Extr">#REF!</definedName>
    <definedName name="_1427_____________________________________________________________________________________________________________________________________ME">'[2]#REF'!#REF!</definedName>
    <definedName name="_1429__________________________________________________________________________________________________________________________________________G__Extract">#REF!</definedName>
    <definedName name="_1429_____________________________________________________________________________________________________________________________________ME">'[2]#REF'!#REF!</definedName>
    <definedName name="_143________________________________________________________________________________________________________________________________________________________________________S" hidden="1">#REF!</definedName>
    <definedName name="_1431_____________________________________________________________________________________________________________________________________________ME">'[2]#REF'!#REF!</definedName>
    <definedName name="_1433_____________________________________________________________________________________________________________________________________________ME">'[2]#REF'!#REF!</definedName>
    <definedName name="_144___________________________________________________________________________________________________________________________________________________________________________ME">'[2]#REF'!#REF!</definedName>
    <definedName name="_144________________________________________________________________________________________________________________________________________________________________________S" hidden="1">[3]Sheet3!#REF!</definedName>
    <definedName name="_1444_______________________________________________________________________________________________________________123Grap" hidden="1">[1]공문!#REF!</definedName>
    <definedName name="_145________________________________________________________________________________________________________________________________________________________________________S" hidden="1">#REF!</definedName>
    <definedName name="_1451___________________________________________________________________________________________________________________________________123Grap" hidden="1">[1]공문!#REF!</definedName>
    <definedName name="_1454__________________________________________________________________________________________________________________________________F" hidden="1">#REF!</definedName>
    <definedName name="_1456__________________________________________________________________________________________________________________________________F" hidden="1">[3]Sheet3!#REF!</definedName>
    <definedName name="_1458__________________________________________________________________________________________________________________________________S" hidden="1">#REF!</definedName>
    <definedName name="_146___________________________________________________________________________________________________________________________________________________________________________ME">'[2]#REF'!#REF!</definedName>
    <definedName name="_146_______________________________________________________________________________________________________________________________________________________________________\LA">'[2]#REF'!#REF!</definedName>
    <definedName name="_1460__________________________________________________________________________________________________________________________________S" hidden="1">[3]Sheet3!#REF!</definedName>
    <definedName name="_1462__________________________________________________________________________________________________________________________________S" hidden="1">#REF!</definedName>
    <definedName name="_1464_________________________________________________________________________________________________________________________________\LA">'[2]#REF'!#REF!</definedName>
    <definedName name="_1466_________________________________________________________________________________________________________________________________\MID">'[2]#REF'!#REF!</definedName>
    <definedName name="_1468_________________________________________________________________________________________________________________________________\SM">'[2]#REF'!#REF!</definedName>
    <definedName name="_147_______________________________________________________________________________________________________________________________________________________________________\MID">'[2]#REF'!#REF!</definedName>
    <definedName name="_1470________________________________________________________________________________________________________________________________0_F" hidden="1">#REF!</definedName>
    <definedName name="_1470______________________________________________________________________________________________________________F" hidden="1">#REF!</definedName>
    <definedName name="_1471______________________________________________________________________________________________________________F" hidden="1">[3]Sheet3!#REF!</definedName>
    <definedName name="_1472________________________________________________________________________________________________________________________________0_S" hidden="1">#REF!</definedName>
    <definedName name="_1474________________________________________________________________________________________________________________________________0_S" hidden="1">#REF!</definedName>
    <definedName name="_1476________________________________________________________________________________________________________________________________0\SM">'[4]#REF'!#REF!</definedName>
    <definedName name="_1477______________________________________________________________________________________________________________S" hidden="1">#REF!</definedName>
    <definedName name="_1478______________________________________________________________________________________________________________________________0_0__123Grap" hidden="1">[1]공문!#REF!</definedName>
    <definedName name="_1478______________________________________________________________________________________________________________S" hidden="1">[3]Sheet3!#REF!</definedName>
    <definedName name="_1479______________________________________________________________________________________________________________S" hidden="1">#REF!</definedName>
    <definedName name="_148___________________________________________________________________________________________________________________________________________________________________________S" hidden="1">#REF!</definedName>
    <definedName name="_148_______________________________________________________________________________________________________________________________________________________________________\SM">'[2]#REF'!#REF!</definedName>
    <definedName name="_1480______________________________________________________________________________________________________________________________0_0_F" hidden="1">[3]Sheet3!#REF!</definedName>
    <definedName name="_1480_____________________________________________________________________________________________________________\LA">'[2]#REF'!#REF!</definedName>
    <definedName name="_1481_____________________________________________________________________________________________________________\MID">'[2]#REF'!#REF!</definedName>
    <definedName name="_1482______________________________________________________________________________________________________________________________0_0_S" hidden="1">[3]Sheet3!#REF!</definedName>
    <definedName name="_1482_____________________________________________________________________________________________________________\SM">'[2]#REF'!#REF!</definedName>
    <definedName name="_1483____________________________________________________________________________________________________________0_F" hidden="1">#REF!</definedName>
    <definedName name="_1484______________________________________________________________________________________________________________________________3__Crite">#REF!</definedName>
    <definedName name="_1484____________________________________________________________________________________________________________0_S" hidden="1">#REF!</definedName>
    <definedName name="_1485____________________________________________________________________________________________________________0_S" hidden="1">#REF!</definedName>
    <definedName name="_1486______________________________________________________________________________________________________________________________3__Criteria">#REF!</definedName>
    <definedName name="_1486____________________________________________________________________________________________________________0\SM">'[4]#REF'!#REF!</definedName>
    <definedName name="_1487__________________________________________________________________________________________________________0_0__123Grap" hidden="1">[1]공문!#REF!</definedName>
    <definedName name="_1488__________________________________________________________________________________________________________0_0_F" hidden="1">[3]Sheet3!#REF!</definedName>
    <definedName name="_1489__________________________________________________________________________________________________________0_0_S" hidden="1">[3]Sheet3!#REF!</definedName>
    <definedName name="_149______________________________________________________________________________________________________________________________________________________________________0_F" hidden="1">#REF!</definedName>
    <definedName name="_1490______________________________________________________________________________________________________________________________G_0Extract">#REF!</definedName>
    <definedName name="_1491___________________________________________________________________________________________________________________________________________123Grap" hidden="1">[1]공문!#REF!</definedName>
    <definedName name="_1491__________________________________________________________________________________________________________3__Crite">#REF!</definedName>
    <definedName name="_1492______________________________________________________________________________________________________________________________G__Extr">#REF!</definedName>
    <definedName name="_1492__________________________________________________________________________________________________________3__Criteria">#REF!</definedName>
    <definedName name="_1494______________________________________________________________________________________________________________________________G__Extract">#REF!</definedName>
    <definedName name="_1495__________________________________________________________________________________________________________G_0Extract">#REF!</definedName>
    <definedName name="_1496_________________________________________________________________________________________________________________________________ME">'[2]#REF'!#REF!</definedName>
    <definedName name="_1496__________________________________________________________________________________________________________G__Extr">#REF!</definedName>
    <definedName name="_1497__________________________________________________________________________________________________________G__Extract">#REF!</definedName>
    <definedName name="_1498_________________________________________________________________________________________________________________________________ME">'[2]#REF'!#REF!</definedName>
    <definedName name="_1498_____________________________________________________________________________________________________________ME">'[2]#REF'!#REF!</definedName>
    <definedName name="_1499_____________________________________________________________________________________________________________ME">'[2]#REF'!#REF!</definedName>
    <definedName name="_15__________________________________________________________________________________________________________________________________________________________________________0_0__123Grap" hidden="1">[1]공문!#REF!</definedName>
    <definedName name="_150___________________________________________________________________________________________________________________________________________________________________________S" hidden="1">[3]Sheet3!#REF!</definedName>
    <definedName name="_150______________________________________________________________________________________________________________________________________________________________________0_S" hidden="1">#REF!</definedName>
    <definedName name="_151______________________________________________________________________________________________________________________________________________________________________0_S" hidden="1">#REF!</definedName>
    <definedName name="_1519__________________________________________________________________________________________________________________________________________F" hidden="1">#REF!</definedName>
    <definedName name="_152___________________________________________________________________________________________________________________________________________________________________________S" hidden="1">#REF!</definedName>
    <definedName name="_152______________________________________________________________________________________________________________________________________________________________________0\SM">'[4]#REF'!#REF!</definedName>
    <definedName name="_1520_______________________________________________________________________________________________________________________________123Grap" hidden="1">[1]공문!#REF!</definedName>
    <definedName name="_1521__________________________________________________________________________________________________________________________________________F" hidden="1">[3]Sheet3!#REF!</definedName>
    <definedName name="_1523______________________________________________________________________________________________________________________________F" hidden="1">#REF!</definedName>
    <definedName name="_1525______________________________________________________________________________________________________________________________F" hidden="1">[3]Sheet3!#REF!</definedName>
    <definedName name="_1527______________________________________________________________________________________________________________________________S" hidden="1">#REF!</definedName>
    <definedName name="_1528__________________________________________________________________________________________________________________________________________S" hidden="1">#REF!</definedName>
    <definedName name="_1529______________________________________________________________________________________________________________________________S" hidden="1">[3]Sheet3!#REF!</definedName>
    <definedName name="_153____________________________________________________________________________________________________________________________________________________________________0_0__123Grap" hidden="1">[1]공문!#REF!</definedName>
    <definedName name="_1530__________________________________________________________________________________________________________________________________________S" hidden="1">[3]Sheet3!#REF!</definedName>
    <definedName name="_1531______________________________________________________________________________________________________________________________S" hidden="1">#REF!</definedName>
    <definedName name="_1532__________________________________________________________________________________________________________________________________________S" hidden="1">#REF!</definedName>
    <definedName name="_1533_____________________________________________________________________________________________________________________________\LA">'[2]#REF'!#REF!</definedName>
    <definedName name="_1534_________________________________________________________________________________________________________________________________________\LA">'[2]#REF'!#REF!</definedName>
    <definedName name="_1535_____________________________________________________________________________________________________________________________\MID">'[2]#REF'!#REF!</definedName>
    <definedName name="_1536_________________________________________________________________________________________________________________________________________\MID">'[2]#REF'!#REF!</definedName>
    <definedName name="_1537_____________________________________________________________________________________________________________________________\SM">'[2]#REF'!#REF!</definedName>
    <definedName name="_1538_________________________________________________________________________________________________________________________________________\SM">'[2]#REF'!#REF!</definedName>
    <definedName name="_1539____________________________________________________________________________________________________________________________0_F" hidden="1">#REF!</definedName>
    <definedName name="_154__________________________________________________________________________________________________________________________________________________________________________\LA">'[2]#REF'!#REF!</definedName>
    <definedName name="_154____________________________________________________________________________________________________________________________________________________________________0_0_F" hidden="1">[3]Sheet3!#REF!</definedName>
    <definedName name="_1540________________________________________________________________________________________________________________________________________0_F" hidden="1">#REF!</definedName>
    <definedName name="_1541____________________________________________________________________________________________________________________________0_S" hidden="1">#REF!</definedName>
    <definedName name="_1542________________________________________________________________________________________________________________________________________0_S" hidden="1">#REF!</definedName>
    <definedName name="_1543____________________________________________________________________________________________________________________________0_S" hidden="1">#REF!</definedName>
    <definedName name="_1544________________________________________________________________________________________________________________________________________0_S" hidden="1">#REF!</definedName>
    <definedName name="_1545____________________________________________________________________________________________________________________________0\SM">'[4]#REF'!#REF!</definedName>
    <definedName name="_1546________________________________________________________________________________________________________________________________________0\SM">'[4]#REF'!#REF!</definedName>
    <definedName name="_1547__________________________________________________________________________________________________________________________0_0__123Grap" hidden="1">[1]공문!#REF!</definedName>
    <definedName name="_1548______________________________________________________________________________________________________________________________________0_0__123Grap" hidden="1">[1]공문!#REF!</definedName>
    <definedName name="_1549__________________________________________________________________________________________________________________________0_0_F" hidden="1">[3]Sheet3!#REF!</definedName>
    <definedName name="_155____________________________________________________________________________________________________________________________________________________________________0_0_S" hidden="1">[3]Sheet3!#REF!</definedName>
    <definedName name="_1550______________________________________________________________________________________________________________________________________0_0_F" hidden="1">[3]Sheet3!#REF!</definedName>
    <definedName name="_1551__________________________________________________________________________________________________________________________0_0_S" hidden="1">[3]Sheet3!#REF!</definedName>
    <definedName name="_1552______________________________________________________________________________________________________________________________________0_0_S" hidden="1">[3]Sheet3!#REF!</definedName>
    <definedName name="_1553__________________________________________________________________________________________________________________________3__Crite">#REF!</definedName>
    <definedName name="_1555______________________________________________________________________________________________________________________________________3__Crite">#REF!</definedName>
    <definedName name="_1555__________________________________________________________________________________________________________________________3__Criteria">#REF!</definedName>
    <definedName name="_1557______________________________________________________________________________________________________________________________________3__Criteria">#REF!</definedName>
    <definedName name="_1559__________________________________________________________________________________________________________________________G_0Extract">#REF!</definedName>
    <definedName name="_156__________________________________________________________________________________________________________________________________________________________________________\MID">'[2]#REF'!#REF!</definedName>
    <definedName name="_156_______________________________________________________________________________________________________________________________________________________________________123Grap" hidden="1">[1]공문!#REF!</definedName>
    <definedName name="_1561__________________________________________________________________________________________________________________________G__Extr">#REF!</definedName>
    <definedName name="_1563______________________________________________________________________________________________________________________________________G_0Extract">#REF!</definedName>
    <definedName name="_1563__________________________________________________________________________________________________________________________G__Extract">#REF!</definedName>
    <definedName name="_1565______________________________________________________________________________________________________________________________________G__Extr">#REF!</definedName>
    <definedName name="_1565_____________________________________________________________________________________________________________________________ME">'[2]#REF'!#REF!</definedName>
    <definedName name="_1567______________________________________________________________________________________________________________________________________G__Extract">#REF!</definedName>
    <definedName name="_1567_____________________________________________________________________________________________________________________________ME">'[2]#REF'!#REF!</definedName>
    <definedName name="_1569_________________________________________________________________________________________________________________________________________ME">'[2]#REF'!#REF!</definedName>
    <definedName name="_157____________________________________________________________________________________________________________________________________________________________________3__Crite">#REF!</definedName>
    <definedName name="_1571_________________________________________________________________________________________________________________________________________ME">'[2]#REF'!#REF!</definedName>
    <definedName name="_158__________________________________________________________________________________________________________________________________________________________________________\SM">'[2]#REF'!#REF!</definedName>
    <definedName name="_158____________________________________________________________________________________________________________________________________________________________________3__Criteria">#REF!</definedName>
    <definedName name="_1589___________________________________________________________________________________________________________________________123Grap" hidden="1">[1]공문!#REF!</definedName>
    <definedName name="_159_______________________________________________________________________________________________________________________________________________________________________F" hidden="1">#REF!</definedName>
    <definedName name="_1592__________________________________________________________________________________________________________________________F" hidden="1">#REF!</definedName>
    <definedName name="_1594__________________________________________________________________________________________________________________________F" hidden="1">[3]Sheet3!#REF!</definedName>
    <definedName name="_1596__________________________________________________________________________________________________________________________S" hidden="1">#REF!</definedName>
    <definedName name="_1598__________________________________________________________________________________________________________________________S" hidden="1">[3]Sheet3!#REF!</definedName>
    <definedName name="_16_____________________________________________________________________________________________________________________________________________________________________________\LA">'[2]#REF'!#REF!</definedName>
    <definedName name="_16__________________________________________________________________________________________________________________________________________________________________________0_0_F" hidden="1">[3]Sheet3!#REF!</definedName>
    <definedName name="_160_________________________________________________________________________________________________________________________________________________________________________0_F" hidden="1">#REF!</definedName>
    <definedName name="_160_______________________________________________________________________________________________________________________________________________________________________F" hidden="1">[3]Sheet3!#REF!</definedName>
    <definedName name="_1600__________________________________________________________________________________________________________________________S" hidden="1">#REF!</definedName>
    <definedName name="_1602_________________________________________________________________________________________________________________________\LA">'[2]#REF'!#REF!</definedName>
    <definedName name="_1604_________________________________________________________________________________________________________________________\MID">'[2]#REF'!#REF!</definedName>
    <definedName name="_1606_________________________________________________________________________________________________________________________\SM">'[2]#REF'!#REF!</definedName>
    <definedName name="_1608________________________________________________________________________________________________________________________0_F" hidden="1">#REF!</definedName>
    <definedName name="_161____________________________________________________________________________________________________________________________________________________________________G_0Extract">#REF!</definedName>
    <definedName name="_1610________________________________________________________________________________________________________________________0_S" hidden="1">#REF!</definedName>
    <definedName name="_1612________________________________________________________________________________________________________________________0_S" hidden="1">#REF!</definedName>
    <definedName name="_1614________________________________________________________________________________________________________________________0\SM">'[4]#REF'!#REF!</definedName>
    <definedName name="_1616______________________________________________________________________________________________________________________0_0__123Grap" hidden="1">[1]공문!#REF!</definedName>
    <definedName name="_1618______________________________________________________________________________________________________________________0_0_F" hidden="1">[3]Sheet3!#REF!</definedName>
    <definedName name="_162_________________________________________________________________________________________________________________________________________________________________________0_S" hidden="1">#REF!</definedName>
    <definedName name="_162____________________________________________________________________________________________________________________________________________________________________G__Extr">#REF!</definedName>
    <definedName name="_1620______________________________________________________________________________________________________________________0_0_S" hidden="1">[3]Sheet3!#REF!</definedName>
    <definedName name="_1622______________________________________________________________________________________________________________________3__Crite">#REF!</definedName>
    <definedName name="_1624______________________________________________________________________________________________________________________3__Criteria">#REF!</definedName>
    <definedName name="_1628______________________________________________________________________________________________________________________G_0Extract">#REF!</definedName>
    <definedName name="_1628_______________________________________________________________________________________________________123Grap" hidden="1">[1]공문!#REF!</definedName>
    <definedName name="_1629_______________________________________________________________________________________________________________________________________123Grap" hidden="1">[1]공문!#REF!</definedName>
    <definedName name="_163____________________________________________________________________________________________________________________________________________________________________G__Extract">#REF!</definedName>
    <definedName name="_1630______________________________________________________________________________________________________________________G__Extr">#REF!</definedName>
    <definedName name="_1632______________________________________________________________________________________________________________________G__Extract">#REF!</definedName>
    <definedName name="_1634_________________________________________________________________________________________________________________________ME">'[2]#REF'!#REF!</definedName>
    <definedName name="_1636_________________________________________________________________________________________________________________________ME">'[2]#REF'!#REF!</definedName>
    <definedName name="_164_________________________________________________________________________________________________________________________________________________________________________0_S" hidden="1">#REF!</definedName>
    <definedName name="_164_______________________________________________________________________________________________________________________________________________________________________ME">'[2]#REF'!#REF!</definedName>
    <definedName name="_165_______________________________________________________________________________________________________________________________________________________________________ME">'[2]#REF'!#REF!</definedName>
    <definedName name="_1654______________________________________________________________________________________________________F" hidden="1">#REF!</definedName>
    <definedName name="_1655______________________________________________________________________________________________________F" hidden="1">[3]Sheet3!#REF!</definedName>
    <definedName name="_1657______________________________________________________________________________________________________________________________________F" hidden="1">#REF!</definedName>
    <definedName name="_1658_______________________________________________________________________________________________________________________123Grap" hidden="1">[1]공문!#REF!</definedName>
    <definedName name="_1659______________________________________________________________________________________________________________________________________F" hidden="1">[3]Sheet3!#REF!</definedName>
    <definedName name="_166_________________________________________________________________________________________________________________________________________________________________________0\SM">'[4]#REF'!#REF!</definedName>
    <definedName name="_166_______________________________________________________________________________________________________________________________________________________________________S" hidden="1">#REF!</definedName>
    <definedName name="_1661______________________________________________________________________________________________________________________F" hidden="1">#REF!</definedName>
    <definedName name="_1661______________________________________________________________________________________________________S" hidden="1">#REF!</definedName>
    <definedName name="_1662______________________________________________________________________________________________________S" hidden="1">[3]Sheet3!#REF!</definedName>
    <definedName name="_1663______________________________________________________________________________________________________________________F" hidden="1">[3]Sheet3!#REF!</definedName>
    <definedName name="_1663______________________________________________________________________________________________________S" hidden="1">#REF!</definedName>
    <definedName name="_1664_____________________________________________________________________________________________________\LA">'[2]#REF'!#REF!</definedName>
    <definedName name="_1665______________________________________________________________________________________________________________________S" hidden="1">#REF!</definedName>
    <definedName name="_1665_____________________________________________________________________________________________________\MID">'[2]#REF'!#REF!</definedName>
    <definedName name="_1666______________________________________________________________________________________________________________________________________S" hidden="1">#REF!</definedName>
    <definedName name="_1666_____________________________________________________________________________________________________\SM">'[2]#REF'!#REF!</definedName>
    <definedName name="_1667______________________________________________________________________________________________________________________S" hidden="1">[3]Sheet3!#REF!</definedName>
    <definedName name="_1667____________________________________________________________________________________________________0_F" hidden="1">#REF!</definedName>
    <definedName name="_1668______________________________________________________________________________________________________________________________________S" hidden="1">[3]Sheet3!#REF!</definedName>
    <definedName name="_1668____________________________________________________________________________________________________0_S" hidden="1">#REF!</definedName>
    <definedName name="_1669______________________________________________________________________________________________________________________S" hidden="1">#REF!</definedName>
    <definedName name="_1669____________________________________________________________________________________________________0_S" hidden="1">#REF!</definedName>
    <definedName name="_167_______________________________________________________________________________________________________________________________________________________________________S" hidden="1">[3]Sheet3!#REF!</definedName>
    <definedName name="_1670______________________________________________________________________________________________________________________________________S" hidden="1">#REF!</definedName>
    <definedName name="_1670____________________________________________________________________________________________________0\SM">'[4]#REF'!#REF!</definedName>
    <definedName name="_1671_____________________________________________________________________________________________________________________\LA">'[2]#REF'!#REF!</definedName>
    <definedName name="_1671__________________________________________________________________________________________________0_0__123Grap" hidden="1">[1]공문!#REF!</definedName>
    <definedName name="_1672_____________________________________________________________________________________________________________________________________\LA">'[2]#REF'!#REF!</definedName>
    <definedName name="_1672__________________________________________________________________________________________________0_0_F" hidden="1">[3]Sheet3!#REF!</definedName>
    <definedName name="_1673_____________________________________________________________________________________________________________________\MID">'[2]#REF'!#REF!</definedName>
    <definedName name="_1673__________________________________________________________________________________________________0_0_S" hidden="1">[3]Sheet3!#REF!</definedName>
    <definedName name="_1674_____________________________________________________________________________________________________________________________________\MID">'[2]#REF'!#REF!</definedName>
    <definedName name="_1675_____________________________________________________________________________________________________________________\SM">'[2]#REF'!#REF!</definedName>
    <definedName name="_1675__________________________________________________________________________________________________3__Crite">#REF!</definedName>
    <definedName name="_1676_____________________________________________________________________________________________________________________________________\SM">'[2]#REF'!#REF!</definedName>
    <definedName name="_1676__________________________________________________________________________________________________3__Criteria">#REF!</definedName>
    <definedName name="_1677____________________________________________________________________________________________________________________0_F" hidden="1">#REF!</definedName>
    <definedName name="_1678____________________________________________________________________________________________________________________________________0_F" hidden="1">#REF!</definedName>
    <definedName name="_1679____________________________________________________________________________________________________________________0_S" hidden="1">#REF!</definedName>
    <definedName name="_1679__________________________________________________________________________________________________G_0Extract">#REF!</definedName>
    <definedName name="_168_______________________________________________________________________________________________________________________________________________________________________0_0__123Grap" hidden="1">[1]공문!#REF!</definedName>
    <definedName name="_168_______________________________________________________________________________________________________________________________________________________________________S" hidden="1">#REF!</definedName>
    <definedName name="_1680____________________________________________________________________________________________________________________________________0_S" hidden="1">#REF!</definedName>
    <definedName name="_1680__________________________________________________________________________________________________G__Extr">#REF!</definedName>
    <definedName name="_1681____________________________________________________________________________________________________________________0_S" hidden="1">#REF!</definedName>
    <definedName name="_1681__________________________________________________________________________________________________G__Extract">#REF!</definedName>
    <definedName name="_1682____________________________________________________________________________________________________________________________________0_S" hidden="1">#REF!</definedName>
    <definedName name="_1682_____________________________________________________________________________________________________ME">'[2]#REF'!#REF!</definedName>
    <definedName name="_1683____________________________________________________________________________________________________________________0\SM">'[4]#REF'!#REF!</definedName>
    <definedName name="_1683_____________________________________________________________________________________________________ME">'[2]#REF'!#REF!</definedName>
    <definedName name="_1684____________________________________________________________________________________________________________________________________0\SM">'[4]#REF'!#REF!</definedName>
    <definedName name="_1685__________________________________________________________________________________________________________________0_0__123Grap" hidden="1">[1]공문!#REF!</definedName>
    <definedName name="_1686__________________________________________________________________________________________________________________________________0_0__123Grap" hidden="1">[1]공문!#REF!</definedName>
    <definedName name="_1687__________________________________________________________________________________________________________________0_0_F" hidden="1">[3]Sheet3!#REF!</definedName>
    <definedName name="_1688__________________________________________________________________________________________________________________________________0_0_F" hidden="1">[3]Sheet3!#REF!</definedName>
    <definedName name="_1689__________________________________________________________________________________________________________________0_0_S" hidden="1">[3]Sheet3!#REF!</definedName>
    <definedName name="_169______________________________________________________________________________________________________________________________________________________________________\LA">'[2]#REF'!#REF!</definedName>
    <definedName name="_1690__________________________________________________________________________________________________________________________________0_0_S" hidden="1">[3]Sheet3!#REF!</definedName>
    <definedName name="_1691__________________________________________________________________________________________________________________3__Crite">#REF!</definedName>
    <definedName name="_1693__________________________________________________________________________________________________________________________________3__Crite">#REF!</definedName>
    <definedName name="_1693__________________________________________________________________________________________________________________3__Criteria">#REF!</definedName>
    <definedName name="_1695__________________________________________________________________________________________________________________________________3__Criteria">#REF!</definedName>
    <definedName name="_1697__________________________________________________________________________________________________________________G_0Extract">#REF!</definedName>
    <definedName name="_1697____________________________________________________________________________________________________123Grap" hidden="1">[1]공문!#REF!</definedName>
    <definedName name="_1699__________________________________________________________________________________________________________________G__Extr">#REF!</definedName>
    <definedName name="_17__________________________________________________________________________________________________________________________________________________________________________0_0_S" hidden="1">[3]Sheet3!#REF!</definedName>
    <definedName name="_170_______________________________________________________________________________________________________________________________________________________________________0_0_F" hidden="1">[3]Sheet3!#REF!</definedName>
    <definedName name="_170______________________________________________________________________________________________________________________________________________________________________\MID">'[2]#REF'!#REF!</definedName>
    <definedName name="_1701__________________________________________________________________________________________________________________________________G_0Extract">#REF!</definedName>
    <definedName name="_1701__________________________________________________________________________________________________________________G__Extract">#REF!</definedName>
    <definedName name="_1703__________________________________________________________________________________________________________________________________G__Extr">#REF!</definedName>
    <definedName name="_1703_____________________________________________________________________________________________________________________ME">'[2]#REF'!#REF!</definedName>
    <definedName name="_1705__________________________________________________________________________________________________________________________________G__Extract">#REF!</definedName>
    <definedName name="_1705_____________________________________________________________________________________________________________________ME">'[2]#REF'!#REF!</definedName>
    <definedName name="_1707_____________________________________________________________________________________________________________________________________ME">'[2]#REF'!#REF!</definedName>
    <definedName name="_1709_____________________________________________________________________________________________________________________________________ME">'[2]#REF'!#REF!</definedName>
    <definedName name="_171______________________________________________________________________________________________________________________________________________________________________\SM">'[2]#REF'!#REF!</definedName>
    <definedName name="_172_______________________________________________________________________________________________________________________________________________________________________0_0_S" hidden="1">[3]Sheet3!#REF!</definedName>
    <definedName name="_172_____________________________________________________________________________________________________________________________________________________________________0_F" hidden="1">#REF!</definedName>
    <definedName name="_1723___________________________________________________________________________________________________F" hidden="1">#REF!</definedName>
    <definedName name="_1724___________________________________________________________________________________________________F" hidden="1">[3]Sheet3!#REF!</definedName>
    <definedName name="_1727___________________________________________________________________________________________________________________123Grap" hidden="1">[1]공문!#REF!</definedName>
    <definedName name="_173_____________________________________________________________________________________________________________________________________________________________________0_S" hidden="1">#REF!</definedName>
    <definedName name="_1730__________________________________________________________________________________________________________________F" hidden="1">#REF!</definedName>
    <definedName name="_1730___________________________________________________________________________________________________S" hidden="1">#REF!</definedName>
    <definedName name="_1731___________________________________________________________________________________________________S" hidden="1">[3]Sheet3!#REF!</definedName>
    <definedName name="_1732__________________________________________________________________________________________________________________F" hidden="1">[3]Sheet3!#REF!</definedName>
    <definedName name="_1732___________________________________________________________________________________________________S" hidden="1">#REF!</definedName>
    <definedName name="_1733__________________________________________________________________________________________________\LA">'[2]#REF'!#REF!</definedName>
    <definedName name="_1734__________________________________________________________________________________________________________________S" hidden="1">#REF!</definedName>
    <definedName name="_1734__________________________________________________________________________________________________\MID">'[2]#REF'!#REF!</definedName>
    <definedName name="_1735__________________________________________________________________________________________________\SM">'[2]#REF'!#REF!</definedName>
    <definedName name="_1736__________________________________________________________________________________________________________________S" hidden="1">[3]Sheet3!#REF!</definedName>
    <definedName name="_1736_________________________________________________________________________________________________0_F" hidden="1">#REF!</definedName>
    <definedName name="_1737_________________________________________________________________________________________________0_S" hidden="1">#REF!</definedName>
    <definedName name="_1738__________________________________________________________________________________________________________________S" hidden="1">#REF!</definedName>
    <definedName name="_1738_________________________________________________________________________________________________0_S" hidden="1">#REF!</definedName>
    <definedName name="_1739_________________________________________________________________________________________________0\SM">'[4]#REF'!#REF!</definedName>
    <definedName name="_174__________________________________________________________________________________________________________________________________________________________________________123Grap" hidden="1">[1]공문!#REF!</definedName>
    <definedName name="_174_____________________________________________________________________________________________________________________________________________________________________0_S" hidden="1">#REF!</definedName>
    <definedName name="_1740_________________________________________________________________________________________________________________\LA">'[2]#REF'!#REF!</definedName>
    <definedName name="_1740_______________________________________________________________________________________________0_0__123Grap" hidden="1">[1]공문!#REF!</definedName>
    <definedName name="_1741_______________________________________________________________________________________________0_0_F" hidden="1">[3]Sheet3!#REF!</definedName>
    <definedName name="_1742_________________________________________________________________________________________________________________\MID">'[2]#REF'!#REF!</definedName>
    <definedName name="_1742_______________________________________________________________________________________________0_0_S" hidden="1">[3]Sheet3!#REF!</definedName>
    <definedName name="_1744_________________________________________________________________________________________________________________\SM">'[2]#REF'!#REF!</definedName>
    <definedName name="_1744_______________________________________________________________________________________________3__Crite">#REF!</definedName>
    <definedName name="_1745_______________________________________________________________________________________________3__Criteria">#REF!</definedName>
    <definedName name="_1746________________________________________________________________________________________________________________0_F" hidden="1">#REF!</definedName>
    <definedName name="_1748________________________________________________________________________________________________________________0_S" hidden="1">#REF!</definedName>
    <definedName name="_1748_______________________________________________________________________________________________G_0Extract">#REF!</definedName>
    <definedName name="_1749_______________________________________________________________________________________________G__Extr">#REF!</definedName>
    <definedName name="_175_____________________________________________________________________________________________________________________________________________________________________0\SM">'[4]#REF'!#REF!</definedName>
    <definedName name="_1750________________________________________________________________________________________________________________0_S" hidden="1">#REF!</definedName>
    <definedName name="_1750_______________________________________________________________________________________________G__Extract">#REF!</definedName>
    <definedName name="_1751__________________________________________________________________________________________________ME">'[2]#REF'!#REF!</definedName>
    <definedName name="_1752________________________________________________________________________________________________________________0\SM">'[4]#REF'!#REF!</definedName>
    <definedName name="_1752__________________________________________________________________________________________________ME">'[2]#REF'!#REF!</definedName>
    <definedName name="_1754______________________________________________________________________________________________________________0_0__123Grap" hidden="1">[1]공문!#REF!</definedName>
    <definedName name="_1756______________________________________________________________________________________________________________0_0_F" hidden="1">[3]Sheet3!#REF!</definedName>
    <definedName name="_1758______________________________________________________________________________________________________________0_0_S" hidden="1">[3]Sheet3!#REF!</definedName>
    <definedName name="_176_______________________________________________________________________________________________________________________________________________________________________3__Crite">#REF!</definedName>
    <definedName name="_176___________________________________________________________________________________________________________________________________________________________________0_0__123Grap" hidden="1">[1]공문!#REF!</definedName>
    <definedName name="_1760______________________________________________________________________________________________________________3__Crite">#REF!</definedName>
    <definedName name="_1762______________________________________________________________________________________________________________3__Criteria">#REF!</definedName>
    <definedName name="_1766______________________________________________________________________________________________________________G_0Extract">#REF!</definedName>
    <definedName name="_1767___________________________________________________________________________________________________________________________________123Grap" hidden="1">[1]공문!#REF!</definedName>
    <definedName name="_1768______________________________________________________________________________________________________________G__Extr">#REF!</definedName>
    <definedName name="_177___________________________________________________________________________________________________________________________________________________________________0_0_F" hidden="1">[3]Sheet3!#REF!</definedName>
    <definedName name="_1770______________________________________________________________________________________________________________G__Extract">#REF!</definedName>
    <definedName name="_1772_________________________________________________________________________________________________________________ME">'[2]#REF'!#REF!</definedName>
    <definedName name="_1774_________________________________________________________________________________________________________________ME">'[2]#REF'!#REF!</definedName>
    <definedName name="_178_______________________________________________________________________________________________________________________________________________________________________3__Criteria">#REF!</definedName>
    <definedName name="_178___________________________________________________________________________________________________________________________________________________________________0_0_S" hidden="1">[3]Sheet3!#REF!</definedName>
    <definedName name="_1789________________________________________________________________________________________________123Grap" hidden="1">[1]공문!#REF!</definedName>
    <definedName name="_179______________________________________________________________________________________________________________________________________________________________________123Grap" hidden="1">[1]공문!#REF!</definedName>
    <definedName name="_1795__________________________________________________________________________________________________________________________________F" hidden="1">#REF!</definedName>
    <definedName name="_1796_______________________________________________________________________________________________________________123Grap" hidden="1">[1]공문!#REF!</definedName>
    <definedName name="_1797__________________________________________________________________________________________________________________________________F" hidden="1">[3]Sheet3!#REF!</definedName>
    <definedName name="_1799______________________________________________________________________________________________________________F" hidden="1">#REF!</definedName>
    <definedName name="_18_____________________________________________________________________________________________________________________________________________________________________________\MID">'[2]#REF'!#REF!</definedName>
    <definedName name="_18_____________________________________________________________________________________________________________________________________________________________________________123Grap" hidden="1">[1]공문!#REF!</definedName>
    <definedName name="_180__________________________________________________________________________________________________________________________________________________________________________F" hidden="1">#REF!</definedName>
    <definedName name="_180___________________________________________________________________________________________________________________________________________________________________3__Crite">#REF!</definedName>
    <definedName name="_1801______________________________________________________________________________________________________________F" hidden="1">[3]Sheet3!#REF!</definedName>
    <definedName name="_1803______________________________________________________________________________________________________________S" hidden="1">#REF!</definedName>
    <definedName name="_1804__________________________________________________________________________________________________________________________________S" hidden="1">#REF!</definedName>
    <definedName name="_1805______________________________________________________________________________________________________________S" hidden="1">[3]Sheet3!#REF!</definedName>
    <definedName name="_1806__________________________________________________________________________________________________________________________________S" hidden="1">[3]Sheet3!#REF!</definedName>
    <definedName name="_1807______________________________________________________________________________________________________________S" hidden="1">#REF!</definedName>
    <definedName name="_1808__________________________________________________________________________________________________________________________________S" hidden="1">#REF!</definedName>
    <definedName name="_1809_____________________________________________________________________________________________________________\LA">'[2]#REF'!#REF!</definedName>
    <definedName name="_181___________________________________________________________________________________________________________________________________________________________________3__Criteria">#REF!</definedName>
    <definedName name="_1810_________________________________________________________________________________________________________________________________\LA">'[2]#REF'!#REF!</definedName>
    <definedName name="_1811_____________________________________________________________________________________________________________\MID">'[2]#REF'!#REF!</definedName>
    <definedName name="_1812_________________________________________________________________________________________________________________________________\MID">'[2]#REF'!#REF!</definedName>
    <definedName name="_1813_____________________________________________________________________________________________________________\SM">'[2]#REF'!#REF!</definedName>
    <definedName name="_1814_________________________________________________________________________________________________________________________________\SM">'[2]#REF'!#REF!</definedName>
    <definedName name="_1815____________________________________________________________________________________________________________0_F" hidden="1">#REF!</definedName>
    <definedName name="_1815_______________________________________________________________________________________________F" hidden="1">#REF!</definedName>
    <definedName name="_1816________________________________________________________________________________________________________________________________0_F" hidden="1">#REF!</definedName>
    <definedName name="_1816_______________________________________________________________________________________________F" hidden="1">[3]Sheet3!#REF!</definedName>
    <definedName name="_1817____________________________________________________________________________________________________________0_S" hidden="1">#REF!</definedName>
    <definedName name="_1818________________________________________________________________________________________________________________________________0_S" hidden="1">#REF!</definedName>
    <definedName name="_1819____________________________________________________________________________________________________________0_S" hidden="1">#REF!</definedName>
    <definedName name="_182__________________________________________________________________________________________________________________________________________________________________________F" hidden="1">[3]Sheet3!#REF!</definedName>
    <definedName name="_182______________________________________________________________________________________________________________________________________________________________________F" hidden="1">#REF!</definedName>
    <definedName name="_1820________________________________________________________________________________________________________________________________0_S" hidden="1">#REF!</definedName>
    <definedName name="_1821____________________________________________________________________________________________________________0\SM">'[4]#REF'!#REF!</definedName>
    <definedName name="_1822________________________________________________________________________________________________________________________________0\SM">'[4]#REF'!#REF!</definedName>
    <definedName name="_1822_______________________________________________________________________________________________S" hidden="1">#REF!</definedName>
    <definedName name="_1823__________________________________________________________________________________________________________0_0__123Grap" hidden="1">[1]공문!#REF!</definedName>
    <definedName name="_1823_______________________________________________________________________________________________S" hidden="1">[3]Sheet3!#REF!</definedName>
    <definedName name="_1824______________________________________________________________________________________________________________________________0_0__123Grap" hidden="1">[1]공문!#REF!</definedName>
    <definedName name="_1824_______________________________________________________________________________________________S" hidden="1">#REF!</definedName>
    <definedName name="_1825__________________________________________________________________________________________________________0_0_F" hidden="1">[3]Sheet3!#REF!</definedName>
    <definedName name="_1825______________________________________________________________________________________________\LA">'[2]#REF'!#REF!</definedName>
    <definedName name="_1826______________________________________________________________________________________________________________________________0_0_F" hidden="1">[3]Sheet3!#REF!</definedName>
    <definedName name="_1826______________________________________________________________________________________________\MID">'[2]#REF'!#REF!</definedName>
    <definedName name="_1827__________________________________________________________________________________________________________0_0_S" hidden="1">[3]Sheet3!#REF!</definedName>
    <definedName name="_1827______________________________________________________________________________________________\SM">'[2]#REF'!#REF!</definedName>
    <definedName name="_1828______________________________________________________________________________________________________________________________0_0_S" hidden="1">[3]Sheet3!#REF!</definedName>
    <definedName name="_1828_____________________________________________________________________________________________0_F" hidden="1">#REF!</definedName>
    <definedName name="_1829__________________________________________________________________________________________________________3__Crite">#REF!</definedName>
    <definedName name="_1829_____________________________________________________________________________________________0_S" hidden="1">#REF!</definedName>
    <definedName name="_183______________________________________________________________________________________________________________________________________________________________________F" hidden="1">[3]Sheet3!#REF!</definedName>
    <definedName name="_1830_____________________________________________________________________________________________0_S" hidden="1">#REF!</definedName>
    <definedName name="_1831______________________________________________________________________________________________________________________________3__Crite">#REF!</definedName>
    <definedName name="_1831__________________________________________________________________________________________________________3__Criteria">#REF!</definedName>
    <definedName name="_1831_____________________________________________________________________________________________0\SM">'[4]#REF'!#REF!</definedName>
    <definedName name="_1832___________________________________________________________________________________________0_0__123Grap" hidden="1">[1]공문!#REF!</definedName>
    <definedName name="_1833______________________________________________________________________________________________________________________________3__Criteria">#REF!</definedName>
    <definedName name="_1833___________________________________________________________________________________________0_0_F" hidden="1">[3]Sheet3!#REF!</definedName>
    <definedName name="_1834___________________________________________________________________________________________0_0_S" hidden="1">[3]Sheet3!#REF!</definedName>
    <definedName name="_1835__________________________________________________________________________________________________________G_0Extract">#REF!</definedName>
    <definedName name="_1836___________________________________________________________________________________________3__Crite">#REF!</definedName>
    <definedName name="_1837__________________________________________________________________________________________________________G__Extr">#REF!</definedName>
    <definedName name="_1837___________________________________________________________________________________________3__Criteria">#REF!</definedName>
    <definedName name="_1839______________________________________________________________________________________________________________________________G_0Extract">#REF!</definedName>
    <definedName name="_1839__________________________________________________________________________________________________________G__Extract">#REF!</definedName>
    <definedName name="_184_______________________________________________________________________________________________________________________________________________________________________G_0Extract">#REF!</definedName>
    <definedName name="_184___________________________________________________________________________________________________________________________________________________________________G_0Extract">#REF!</definedName>
    <definedName name="_1840___________________________________________________________________________________________G_0Extract">#REF!</definedName>
    <definedName name="_1841______________________________________________________________________________________________________________________________G__Extr">#REF!</definedName>
    <definedName name="_1841_____________________________________________________________________________________________________________ME">'[2]#REF'!#REF!</definedName>
    <definedName name="_1841___________________________________________________________________________________________G__Extr">#REF!</definedName>
    <definedName name="_1842___________________________________________________________________________________________G__Extract">#REF!</definedName>
    <definedName name="_1843______________________________________________________________________________________________________________________________G__Extract">#REF!</definedName>
    <definedName name="_1843_____________________________________________________________________________________________________________ME">'[2]#REF'!#REF!</definedName>
    <definedName name="_1843______________________________________________________________________________________________ME">'[2]#REF'!#REF!</definedName>
    <definedName name="_1844______________________________________________________________________________________________ME">'[2]#REF'!#REF!</definedName>
    <definedName name="_1845_________________________________________________________________________________________________________________________________ME">'[2]#REF'!#REF!</definedName>
    <definedName name="_1847_________________________________________________________________________________________________________________________________ME">'[2]#REF'!#REF!</definedName>
    <definedName name="_185___________________________________________________________________________________________________________________________________________________________________G__Extr">#REF!</definedName>
    <definedName name="_186_______________________________________________________________________________________________________________________________________________________________________G__Extr">#REF!</definedName>
    <definedName name="_186___________________________________________________________________________________________________________________________________________________________________G__Extract">#REF!</definedName>
    <definedName name="_187______________________________________________________________________________________________________________________________________________________________________ME">'[2]#REF'!#REF!</definedName>
    <definedName name="_188_______________________________________________________________________________________________________________________________________________________________________G__Extract">#REF!</definedName>
    <definedName name="_188______________________________________________________________________________________________________________________________________________________________________ME">'[2]#REF'!#REF!</definedName>
    <definedName name="_1881____________________________________________________________________________________________123Grap" hidden="1">[1]공문!#REF!</definedName>
    <definedName name="_189______________________________________________________________________________________________________________________________________________________________________S" hidden="1">#REF!</definedName>
    <definedName name="_19__________________________________________________________________________________________________________________________________________________________________________3__Crite">#REF!</definedName>
    <definedName name="_190__________________________________________________________________________________________________________________________________________________________________________ME">'[2]#REF'!#REF!</definedName>
    <definedName name="_190______________________________________________________________________________________________________________________________________________________________________S" hidden="1">[3]Sheet3!#REF!</definedName>
    <definedName name="_1905_______________________________________________________________________________________________________________________________123Grap" hidden="1">[1]공문!#REF!</definedName>
    <definedName name="_1907___________________________________________________________________________________________F" hidden="1">#REF!</definedName>
    <definedName name="_1908___________________________________________________________________________________________F" hidden="1">[3]Sheet3!#REF!</definedName>
    <definedName name="_191______________________________________________________________________________________________________________________________________________________________________S" hidden="1">#REF!</definedName>
    <definedName name="_1911_______________________________________________________________________________________________________123Grap" hidden="1">[1]공문!#REF!</definedName>
    <definedName name="_1914______________________________________________________________________________________________________F" hidden="1">#REF!</definedName>
    <definedName name="_1914___________________________________________________________________________________________S" hidden="1">#REF!</definedName>
    <definedName name="_1915___________________________________________________________________________________________S" hidden="1">[3]Sheet3!#REF!</definedName>
    <definedName name="_1916______________________________________________________________________________________________________F" hidden="1">[3]Sheet3!#REF!</definedName>
    <definedName name="_1916___________________________________________________________________________________________S" hidden="1">#REF!</definedName>
    <definedName name="_1917__________________________________________________________________________________________\LA">'[2]#REF'!#REF!</definedName>
    <definedName name="_1918______________________________________________________________________________________________________S" hidden="1">#REF!</definedName>
    <definedName name="_1918__________________________________________________________________________________________\MID">'[2]#REF'!#REF!</definedName>
    <definedName name="_1919__________________________________________________________________________________________\SM">'[2]#REF'!#REF!</definedName>
    <definedName name="_192__________________________________________________________________________________________________________________________________________________________________________ME">'[2]#REF'!#REF!</definedName>
    <definedName name="_192_____________________________________________________________________________________________________________________________________________________________________\LA">'[2]#REF'!#REF!</definedName>
    <definedName name="_1920______________________________________________________________________________________________________S" hidden="1">[3]Sheet3!#REF!</definedName>
    <definedName name="_1920_________________________________________________________________________________________0_F" hidden="1">#REF!</definedName>
    <definedName name="_1921_________________________________________________________________________________________0_S" hidden="1">#REF!</definedName>
    <definedName name="_1922______________________________________________________________________________________________________S" hidden="1">#REF!</definedName>
    <definedName name="_1922_________________________________________________________________________________________0_S" hidden="1">#REF!</definedName>
    <definedName name="_1923_________________________________________________________________________________________0\SM">'[4]#REF'!#REF!</definedName>
    <definedName name="_1924_____________________________________________________________________________________________________\LA">'[2]#REF'!#REF!</definedName>
    <definedName name="_1924_______________________________________________________________________________________0_0__123Grap" hidden="1">[1]공문!#REF!</definedName>
    <definedName name="_1925_______________________________________________________________________________________0_0_F" hidden="1">[3]Sheet3!#REF!</definedName>
    <definedName name="_1926_____________________________________________________________________________________________________\MID">'[2]#REF'!#REF!</definedName>
    <definedName name="_1926_______________________________________________________________________________________0_0_S" hidden="1">[3]Sheet3!#REF!</definedName>
    <definedName name="_1928_____________________________________________________________________________________________________\SM">'[2]#REF'!#REF!</definedName>
    <definedName name="_1928_______________________________________________________________________________________3__Crite">#REF!</definedName>
    <definedName name="_1929_______________________________________________________________________________________3__Criteria">#REF!</definedName>
    <definedName name="_193_____________________________________________________________________________________________________________________________________________________________________\MID">'[2]#REF'!#REF!</definedName>
    <definedName name="_1930____________________________________________________________________________________________________0_F" hidden="1">#REF!</definedName>
    <definedName name="_1932____________________________________________________________________________________________________0_S" hidden="1">#REF!</definedName>
    <definedName name="_1932_______________________________________________________________________________________G_0Extract">#REF!</definedName>
    <definedName name="_1933______________________________________________________________________________________________________________________________F" hidden="1">#REF!</definedName>
    <definedName name="_1933_______________________________________________________________________________________G__Extr">#REF!</definedName>
    <definedName name="_1934____________________________________________________________________________________________________0_S" hidden="1">#REF!</definedName>
    <definedName name="_1934_______________________________________________________________________________________G__Extract">#REF!</definedName>
    <definedName name="_1935______________________________________________________________________________________________________________________________F" hidden="1">[3]Sheet3!#REF!</definedName>
    <definedName name="_1935__________________________________________________________________________________________ME">'[2]#REF'!#REF!</definedName>
    <definedName name="_1936____________________________________________________________________________________________________0\SM">'[4]#REF'!#REF!</definedName>
    <definedName name="_1936__________________________________________________________________________________________ME">'[2]#REF'!#REF!</definedName>
    <definedName name="_1938__________________________________________________________________________________________________0_0__123Grap" hidden="1">[1]공문!#REF!</definedName>
    <definedName name="_194__________________________________________________________________________________________________________________________________________________________________________S" hidden="1">#REF!</definedName>
    <definedName name="_194_____________________________________________________________________________________________________________________________________________________________________\SM">'[2]#REF'!#REF!</definedName>
    <definedName name="_1940__________________________________________________________________________________________________0_0_F" hidden="1">[3]Sheet3!#REF!</definedName>
    <definedName name="_1942______________________________________________________________________________________________________________________________S" hidden="1">#REF!</definedName>
    <definedName name="_1942__________________________________________________________________________________________________0_0_S" hidden="1">[3]Sheet3!#REF!</definedName>
    <definedName name="_1944______________________________________________________________________________________________________________________________S" hidden="1">[3]Sheet3!#REF!</definedName>
    <definedName name="_1944__________________________________________________________________________________________________3__Crite">#REF!</definedName>
    <definedName name="_1946______________________________________________________________________________________________________________________________S" hidden="1">#REF!</definedName>
    <definedName name="_1946__________________________________________________________________________________________________3__Criteria">#REF!</definedName>
    <definedName name="_1948_____________________________________________________________________________________________________________________________\LA">'[2]#REF'!#REF!</definedName>
    <definedName name="_195____________________________________________________________________________________________________________________________________________________________________0_F" hidden="1">#REF!</definedName>
    <definedName name="_1950_____________________________________________________________________________________________________________________________\MID">'[2]#REF'!#REF!</definedName>
    <definedName name="_1950__________________________________________________________________________________________________G_0Extract">#REF!</definedName>
    <definedName name="_1952_____________________________________________________________________________________________________________________________\SM">'[2]#REF'!#REF!</definedName>
    <definedName name="_1952__________________________________________________________________________________________________G__Extr">#REF!</definedName>
    <definedName name="_1954____________________________________________________________________________________________________________________________0_F" hidden="1">#REF!</definedName>
    <definedName name="_1954__________________________________________________________________________________________________G__Extract">#REF!</definedName>
    <definedName name="_1956____________________________________________________________________________________________________________________________0_S" hidden="1">#REF!</definedName>
    <definedName name="_1956_____________________________________________________________________________________________________ME">'[2]#REF'!#REF!</definedName>
    <definedName name="_1958____________________________________________________________________________________________________________________________0_S" hidden="1">#REF!</definedName>
    <definedName name="_1958_____________________________________________________________________________________________________ME">'[2]#REF'!#REF!</definedName>
    <definedName name="_196__________________________________________________________________________________________________________________________________________________________________________S" hidden="1">[3]Sheet3!#REF!</definedName>
    <definedName name="_196____________________________________________________________________________________________________________________________________________________________________0_S" hidden="1">#REF!</definedName>
    <definedName name="_1960____________________________________________________________________________________________________________________________0\SM">'[4]#REF'!#REF!</definedName>
    <definedName name="_1962__________________________________________________________________________________________________________________________0_0__123Grap" hidden="1">[1]공문!#REF!</definedName>
    <definedName name="_1964__________________________________________________________________________________________________________________________0_0_F" hidden="1">[3]Sheet3!#REF!</definedName>
    <definedName name="_1966__________________________________________________________________________________________________________________________0_0_S" hidden="1">[3]Sheet3!#REF!</definedName>
    <definedName name="_1969__________________________________________________________________________________________________________________________3__Crite">#REF!</definedName>
    <definedName name="_197____________________________________________________________________________________________________________________________________________________________________0_S" hidden="1">#REF!</definedName>
    <definedName name="_1971__________________________________________________________________________________________________________________________3__Criteria">#REF!</definedName>
    <definedName name="_1973____________________________________________________________________________________________________123Grap" hidden="1">[1]공문!#REF!</definedName>
    <definedName name="_1973________________________________________________________________________________________123Grap" hidden="1">[1]공문!#REF!</definedName>
    <definedName name="_1977__________________________________________________________________________________________________________________________G_0Extract">#REF!</definedName>
    <definedName name="_1979__________________________________________________________________________________________________________________________G__Extr">#REF!</definedName>
    <definedName name="_198__________________________________________________________________________________________________________________________________________________________________________S" hidden="1">#REF!</definedName>
    <definedName name="_198____________________________________________________________________________________________________________________________________________________________________0\SM">'[4]#REF'!#REF!</definedName>
    <definedName name="_1981__________________________________________________________________________________________________________________________G__Extract">#REF!</definedName>
    <definedName name="_1983_____________________________________________________________________________________________________________________________ME">'[2]#REF'!#REF!</definedName>
    <definedName name="_1983___________________________________________________________________________________________________F" hidden="1">#REF!</definedName>
    <definedName name="_1985_____________________________________________________________________________________________________________________________ME">'[2]#REF'!#REF!</definedName>
    <definedName name="_1985___________________________________________________________________________________________________F" hidden="1">[3]Sheet3!#REF!</definedName>
    <definedName name="_1987___________________________________________________________________________________________________S" hidden="1">#REF!</definedName>
    <definedName name="_1989___________________________________________________________________________________________________S" hidden="1">[3]Sheet3!#REF!</definedName>
    <definedName name="_199__________________________________________________________________________________________________________________________________________________________________0_0__123Grap" hidden="1">[1]공문!#REF!</definedName>
    <definedName name="_1991___________________________________________________________________________________________________S" hidden="1">#REF!</definedName>
    <definedName name="_1993__________________________________________________________________________________________________\LA">'[2]#REF'!#REF!</definedName>
    <definedName name="_1995__________________________________________________________________________________________________\MID">'[2]#REF'!#REF!</definedName>
    <definedName name="_1997__________________________________________________________________________________________________\SM">'[2]#REF'!#REF!</definedName>
    <definedName name="_1999_________________________________________________________________________________________________0_F" hidden="1">#REF!</definedName>
    <definedName name="_1999_______________________________________________________________________________________F" hidden="1">#REF!</definedName>
    <definedName name="_2_______________________________________________________________________________________________________________________________________________________________________________123Grap" hidden="1">[1]공문!#REF!</definedName>
    <definedName name="_2______________________________________________________________________________________________________________________________________________________________________________123Grap" hidden="1">[1]공문!#REF!</definedName>
    <definedName name="_20_____________________________________________________________________________________________________________________________________________________________________________\SM">'[2]#REF'!#REF!</definedName>
    <definedName name="_20__________________________________________________________________________________________________________________________________________________________________________3__Criteria">#REF!</definedName>
    <definedName name="_200_________________________________________________________________________________________________________________________________________________________________________\LA">'[2]#REF'!#REF!</definedName>
    <definedName name="_200__________________________________________________________________________________________________________________________________________________________________0_0_F" hidden="1">[3]Sheet3!#REF!</definedName>
    <definedName name="_2000_______________________________________________________________________________________F" hidden="1">[3]Sheet3!#REF!</definedName>
    <definedName name="_2001_________________________________________________________________________________________________0_S" hidden="1">#REF!</definedName>
    <definedName name="_2003_________________________________________________________________________________________________0_S" hidden="1">#REF!</definedName>
    <definedName name="_2005_________________________________________________________________________________________________0\SM">'[4]#REF'!#REF!</definedName>
    <definedName name="_2006_______________________________________________________________________________________S" hidden="1">#REF!</definedName>
    <definedName name="_2007_______________________________________________________________________________________________0_0__123Grap" hidden="1">[1]공문!#REF!</definedName>
    <definedName name="_2007_______________________________________________________________________________________S" hidden="1">[3]Sheet3!#REF!</definedName>
    <definedName name="_2008_______________________________________________________________________________________S" hidden="1">#REF!</definedName>
    <definedName name="_2009_______________________________________________________________________________________________0_0_F" hidden="1">[3]Sheet3!#REF!</definedName>
    <definedName name="_2009______________________________________________________________________________________\LA">'[2]#REF'!#REF!</definedName>
    <definedName name="_201__________________________________________________________________________________________________________________________________________________________________0_0_S" hidden="1">[3]Sheet3!#REF!</definedName>
    <definedName name="_2010______________________________________________________________________________________\MID">'[2]#REF'!#REF!</definedName>
    <definedName name="_2011_______________________________________________________________________________________________0_0_S" hidden="1">[3]Sheet3!#REF!</definedName>
    <definedName name="_2011______________________________________________________________________________________\SM">'[2]#REF'!#REF!</definedName>
    <definedName name="_2012_____________________________________________________________________________________0_F" hidden="1">#REF!</definedName>
    <definedName name="_2013_______________________________________________________________________________________________3__Crite">#REF!</definedName>
    <definedName name="_2013_____________________________________________________________________________________0_S" hidden="1">#REF!</definedName>
    <definedName name="_2014_____________________________________________________________________________________0_S" hidden="1">#REF!</definedName>
    <definedName name="_2015_______________________________________________________________________________________________3__Criteria">#REF!</definedName>
    <definedName name="_2015_____________________________________________________________________________________0\SM">'[4]#REF'!#REF!</definedName>
    <definedName name="_2016___________________________________________________________________________________0_0__123Grap" hidden="1">[1]공문!#REF!</definedName>
    <definedName name="_2017___________________________________________________________________________________0_0_F" hidden="1">[3]Sheet3!#REF!</definedName>
    <definedName name="_2018___________________________________________________________________________________0_0_S" hidden="1">[3]Sheet3!#REF!</definedName>
    <definedName name="_2019_______________________________________________________________________________________________G_0Extract">#REF!</definedName>
    <definedName name="_202_________________________________________________________________________________________________________________________________________________________________________\MID">'[2]#REF'!#REF!</definedName>
    <definedName name="_202_____________________________________________________________________________________________________________________________________________________________________123Grap" hidden="1">[1]공문!#REF!</definedName>
    <definedName name="_2020___________________________________________________________________________________3__Crite">#REF!</definedName>
    <definedName name="_2021_______________________________________________________________________________________________G__Extr">#REF!</definedName>
    <definedName name="_2021___________________________________________________________________________________3__Criteria">#REF!</definedName>
    <definedName name="_2023_______________________________________________________________________________________________G__Extract">#REF!</definedName>
    <definedName name="_2024___________________________________________________________________________________G_0Extract">#REF!</definedName>
    <definedName name="_2025__________________________________________________________________________________________________ME">'[2]#REF'!#REF!</definedName>
    <definedName name="_2025___________________________________________________________________________________G__Extr">#REF!</definedName>
    <definedName name="_2026___________________________________________________________________________________G__Extract">#REF!</definedName>
    <definedName name="_2027__________________________________________________________________________________________________ME">'[2]#REF'!#REF!</definedName>
    <definedName name="_2027______________________________________________________________________________________ME">'[2]#REF'!#REF!</definedName>
    <definedName name="_2028______________________________________________________________________________________ME">'[2]#REF'!#REF!</definedName>
    <definedName name="_203__________________________________________________________________________________________________________________________________________________________________3__Crite">#REF!</definedName>
    <definedName name="_204_________________________________________________________________________________________________________________________________________________________________________\SM">'[2]#REF'!#REF!</definedName>
    <definedName name="_204__________________________________________________________________________________________________________________________________________________________________3__Criteria">#REF!</definedName>
    <definedName name="_2043___________________________________________________________________________________________________________________________123Grap" hidden="1">[1]공문!#REF!</definedName>
    <definedName name="_2049________________________________________________________________________________________________123Grap" hidden="1">[1]공문!#REF!</definedName>
    <definedName name="_205_____________________________________________________________________________________________________________________________________________________________________F" hidden="1">#REF!</definedName>
    <definedName name="_2052_______________________________________________________________________________________________F" hidden="1">#REF!</definedName>
    <definedName name="_2054_______________________________________________________________________________________________F" hidden="1">[3]Sheet3!#REF!</definedName>
    <definedName name="_2056_______________________________________________________________________________________________S" hidden="1">#REF!</definedName>
    <definedName name="_2058_______________________________________________________________________________________________S" hidden="1">[3]Sheet3!#REF!</definedName>
    <definedName name="_206________________________________________________________________________________________________________________________________________________________________________0_F" hidden="1">#REF!</definedName>
    <definedName name="_206_____________________________________________________________________________________________________________________________________________________________________F" hidden="1">[3]Sheet3!#REF!</definedName>
    <definedName name="_2060_______________________________________________________________________________________________S" hidden="1">#REF!</definedName>
    <definedName name="_2062______________________________________________________________________________________________\LA">'[2]#REF'!#REF!</definedName>
    <definedName name="_2064______________________________________________________________________________________________\MID">'[2]#REF'!#REF!</definedName>
    <definedName name="_2065____________________________________________________________________________________123Grap" hidden="1">[1]공문!#REF!</definedName>
    <definedName name="_2066______________________________________________________________________________________________\SM">'[2]#REF'!#REF!</definedName>
    <definedName name="_2068_____________________________________________________________________________________________0_F" hidden="1">#REF!</definedName>
    <definedName name="_207__________________________________________________________________________________________________________________________________________________________________G_0Extract">#REF!</definedName>
    <definedName name="_2070_____________________________________________________________________________________________0_S" hidden="1">#REF!</definedName>
    <definedName name="_2071__________________________________________________________________________________________________________________________F" hidden="1">#REF!</definedName>
    <definedName name="_2072_____________________________________________________________________________________________0_S" hidden="1">#REF!</definedName>
    <definedName name="_2073__________________________________________________________________________________________________________________________F" hidden="1">[3]Sheet3!#REF!</definedName>
    <definedName name="_2074_____________________________________________________________________________________________0\SM">'[4]#REF'!#REF!</definedName>
    <definedName name="_2076___________________________________________________________________________________________0_0__123Grap" hidden="1">[1]공문!#REF!</definedName>
    <definedName name="_2078___________________________________________________________________________________________0_0_F" hidden="1">[3]Sheet3!#REF!</definedName>
    <definedName name="_208________________________________________________________________________________________________________________________________________________________________________0_S" hidden="1">#REF!</definedName>
    <definedName name="_208__________________________________________________________________________________________________________________________________________________________________G__Extr">#REF!</definedName>
    <definedName name="_2080__________________________________________________________________________________________________________________________S" hidden="1">#REF!</definedName>
    <definedName name="_2080___________________________________________________________________________________________0_0_S" hidden="1">[3]Sheet3!#REF!</definedName>
    <definedName name="_2082__________________________________________________________________________________________________________________________S" hidden="1">[3]Sheet3!#REF!</definedName>
    <definedName name="_2082___________________________________________________________________________________________3__Crite">#REF!</definedName>
    <definedName name="_2084__________________________________________________________________________________________________________________________S" hidden="1">#REF!</definedName>
    <definedName name="_2084___________________________________________________________________________________________3__Criteria">#REF!</definedName>
    <definedName name="_2086_________________________________________________________________________________________________________________________\LA">'[2]#REF'!#REF!</definedName>
    <definedName name="_2088_________________________________________________________________________________________________________________________\MID">'[2]#REF'!#REF!</definedName>
    <definedName name="_2088___________________________________________________________________________________________G_0Extract">#REF!</definedName>
    <definedName name="_209__________________________________________________________________________________________________________________________________________________________________G__Extract">#REF!</definedName>
    <definedName name="_2090_________________________________________________________________________________________________________________________\SM">'[2]#REF'!#REF!</definedName>
    <definedName name="_2090___________________________________________________________________________________________G__Extr">#REF!</definedName>
    <definedName name="_2091___________________________________________________________________________________F" hidden="1">#REF!</definedName>
    <definedName name="_2092________________________________________________________________________________________________________________________0_F" hidden="1">#REF!</definedName>
    <definedName name="_2092___________________________________________________________________________________________G__Extract">#REF!</definedName>
    <definedName name="_2092___________________________________________________________________________________F" hidden="1">[3]Sheet3!#REF!</definedName>
    <definedName name="_2094________________________________________________________________________________________________________________________0_S" hidden="1">#REF!</definedName>
    <definedName name="_2094______________________________________________________________________________________________ME">'[2]#REF'!#REF!</definedName>
    <definedName name="_2096________________________________________________________________________________________________________________________0_S" hidden="1">#REF!</definedName>
    <definedName name="_2096______________________________________________________________________________________________ME">'[2]#REF'!#REF!</definedName>
    <definedName name="_2098________________________________________________________________________________________________________________________0\SM">'[4]#REF'!#REF!</definedName>
    <definedName name="_2098___________________________________________________________________________________S" hidden="1">#REF!</definedName>
    <definedName name="_2099___________________________________________________________________________________S" hidden="1">[3]Sheet3!#REF!</definedName>
    <definedName name="_21_____________________________________________________________________________________________________________________________________________________________________________F" hidden="1">#REF!</definedName>
    <definedName name="_210________________________________________________________________________________________________________________________________________________________________________0_S" hidden="1">#REF!</definedName>
    <definedName name="_210_____________________________________________________________________________________________________________________________________________________________________ME">'[2]#REF'!#REF!</definedName>
    <definedName name="_2100______________________________________________________________________________________________________________________0_0__123Grap" hidden="1">[1]공문!#REF!</definedName>
    <definedName name="_2100___________________________________________________________________________________S" hidden="1">#REF!</definedName>
    <definedName name="_2101__________________________________________________________________________________\LA">'[2]#REF'!#REF!</definedName>
    <definedName name="_2102______________________________________________________________________________________________________________________0_0_F" hidden="1">[3]Sheet3!#REF!</definedName>
    <definedName name="_2102__________________________________________________________________________________\MID">'[2]#REF'!#REF!</definedName>
    <definedName name="_2103__________________________________________________________________________________\SM">'[2]#REF'!#REF!</definedName>
    <definedName name="_2104______________________________________________________________________________________________________________________0_0_S" hidden="1">[3]Sheet3!#REF!</definedName>
    <definedName name="_2104_________________________________________________________________________________0_F" hidden="1">#REF!</definedName>
    <definedName name="_2105_________________________________________________________________________________0_S" hidden="1">#REF!</definedName>
    <definedName name="_2106_________________________________________________________________________________0_S" hidden="1">#REF!</definedName>
    <definedName name="_2107______________________________________________________________________________________________________________________3__Crite">#REF!</definedName>
    <definedName name="_2107_________________________________________________________________________________0\SM">'[4]#REF'!#REF!</definedName>
    <definedName name="_2108_______________________________________________________________________________0_0__123Grap" hidden="1">[1]공문!#REF!</definedName>
    <definedName name="_2109______________________________________________________________________________________________________________________3__Criteria">#REF!</definedName>
    <definedName name="_2109_______________________________________________________________________________0_0_F" hidden="1">[3]Sheet3!#REF!</definedName>
    <definedName name="_211_____________________________________________________________________________________________________________________________________________________________________ME">'[2]#REF'!#REF!</definedName>
    <definedName name="_2110_______________________________________________________________________________0_0_S" hidden="1">[3]Sheet3!#REF!</definedName>
    <definedName name="_2112_______________________________________________________________________________3__Crite">#REF!</definedName>
    <definedName name="_2113_______________________________________________________________________________3__Criteria">#REF!</definedName>
    <definedName name="_2115______________________________________________________________________________________________________________________G_0Extract">#REF!</definedName>
    <definedName name="_2116_______________________________________________________________________________G_0Extract">#REF!</definedName>
    <definedName name="_2117______________________________________________________________________________________________________________________G__Extr">#REF!</definedName>
    <definedName name="_2117_______________________________________________________________________________G__Extr">#REF!</definedName>
    <definedName name="_2118____________________________________________________________________________________________123Grap" hidden="1">[1]공문!#REF!</definedName>
    <definedName name="_2118_______________________________________________________________________________G__Extract">#REF!</definedName>
    <definedName name="_2119______________________________________________________________________________________________________________________G__Extract">#REF!</definedName>
    <definedName name="_2119__________________________________________________________________________________ME">'[2]#REF'!#REF!</definedName>
    <definedName name="_212________________________________________________________________________________________________________________________________________________________________________0\SM">'[4]#REF'!#REF!</definedName>
    <definedName name="_212_____________________________________________________________________________________________________________________________________________________________________S" hidden="1">#REF!</definedName>
    <definedName name="_2120__________________________________________________________________________________ME">'[2]#REF'!#REF!</definedName>
    <definedName name="_2121_________________________________________________________________________________________________________________________ME">'[2]#REF'!#REF!</definedName>
    <definedName name="_2121___________________________________________________________________________________________F" hidden="1">#REF!</definedName>
    <definedName name="_2123_________________________________________________________________________________________________________________________ME">'[2]#REF'!#REF!</definedName>
    <definedName name="_2123___________________________________________________________________________________________F" hidden="1">[3]Sheet3!#REF!</definedName>
    <definedName name="_2125___________________________________________________________________________________________S" hidden="1">#REF!</definedName>
    <definedName name="_2127___________________________________________________________________________________________S" hidden="1">[3]Sheet3!#REF!</definedName>
    <definedName name="_2129___________________________________________________________________________________________S" hidden="1">#REF!</definedName>
    <definedName name="_213_____________________________________________________________________________________________________________________________________________________________________S" hidden="1">[3]Sheet3!#REF!</definedName>
    <definedName name="_2131__________________________________________________________________________________________\LA">'[2]#REF'!#REF!</definedName>
    <definedName name="_2133__________________________________________________________________________________________\MID">'[2]#REF'!#REF!</definedName>
    <definedName name="_2135__________________________________________________________________________________________\SM">'[2]#REF'!#REF!</definedName>
    <definedName name="_2137_________________________________________________________________________________________0_F" hidden="1">#REF!</definedName>
    <definedName name="_2139_________________________________________________________________________________________0_S" hidden="1">#REF!</definedName>
    <definedName name="_214______________________________________________________________________________________________________________________________________________________________________0_0__123Grap" hidden="1">[1]공문!#REF!</definedName>
    <definedName name="_214_____________________________________________________________________________________________________________________________________________________________________S" hidden="1">#REF!</definedName>
    <definedName name="_2141_________________________________________________________________________________________0_S" hidden="1">#REF!</definedName>
    <definedName name="_2143_________________________________________________________________________________________0\SM">'[4]#REF'!#REF!</definedName>
    <definedName name="_2145_______________________________________________________________________________________0_0__123Grap" hidden="1">[1]공문!#REF!</definedName>
    <definedName name="_2147_______________________________________________________________________________________0_0_F" hidden="1">[3]Sheet3!#REF!</definedName>
    <definedName name="_2149_______________________________________________________________________________________0_0_S" hidden="1">[3]Sheet3!#REF!</definedName>
    <definedName name="_215____________________________________________________________________________________________________________________________________________________________________\LA">'[2]#REF'!#REF!</definedName>
    <definedName name="_2151_______________________________________________________________________________________3__Crite">#REF!</definedName>
    <definedName name="_2153_______________________________________________________________________________________3__Criteria">#REF!</definedName>
    <definedName name="_2157_______________________________________________________________________________________G_0Extract">#REF!</definedName>
    <definedName name="_2157________________________________________________________________________________123Grap" hidden="1">[1]공문!#REF!</definedName>
    <definedName name="_2159_______________________________________________________________________________________G__Extr">#REF!</definedName>
    <definedName name="_216______________________________________________________________________________________________________________________________________________________________________0_0_F" hidden="1">[3]Sheet3!#REF!</definedName>
    <definedName name="_216____________________________________________________________________________________________________________________________________________________________________\MID">'[2]#REF'!#REF!</definedName>
    <definedName name="_2161_______________________________________________________________________________________G__Extract">#REF!</definedName>
    <definedName name="_2163__________________________________________________________________________________________ME">'[2]#REF'!#REF!</definedName>
    <definedName name="_2165__________________________________________________________________________________________ME">'[2]#REF'!#REF!</definedName>
    <definedName name="_217____________________________________________________________________________________________________________________________________________________________________\SM">'[2]#REF'!#REF!</definedName>
    <definedName name="_218______________________________________________________________________________________________________________________________________________________________________0_0_S" hidden="1">[3]Sheet3!#REF!</definedName>
    <definedName name="_218___________________________________________________________________________________________________________________________________________________________________0_F" hidden="1">#REF!</definedName>
    <definedName name="_2181_______________________________________________________________________________________________________________________123Grap" hidden="1">[1]공문!#REF!</definedName>
    <definedName name="_2183_______________________________________________________________________________F" hidden="1">#REF!</definedName>
    <definedName name="_2184_______________________________________________________________________________F" hidden="1">[3]Sheet3!#REF!</definedName>
    <definedName name="_2187________________________________________________________________________________________123Grap" hidden="1">[1]공문!#REF!</definedName>
    <definedName name="_219___________________________________________________________________________________________________________________________________________________________________0_S" hidden="1">#REF!</definedName>
    <definedName name="_2190_______________________________________________________________________________________F" hidden="1">#REF!</definedName>
    <definedName name="_2190_______________________________________________________________________________S" hidden="1">#REF!</definedName>
    <definedName name="_2191_______________________________________________________________________________S" hidden="1">[3]Sheet3!#REF!</definedName>
    <definedName name="_2192_______________________________________________________________________________________F" hidden="1">[3]Sheet3!#REF!</definedName>
    <definedName name="_2192_______________________________________________________________________________S" hidden="1">#REF!</definedName>
    <definedName name="_2193______________________________________________________________________________\LA">'[2]#REF'!#REF!</definedName>
    <definedName name="_2194_______________________________________________________________________________________S" hidden="1">#REF!</definedName>
    <definedName name="_2194______________________________________________________________________________\MID">'[2]#REF'!#REF!</definedName>
    <definedName name="_2195______________________________________________________________________________\SM">'[2]#REF'!#REF!</definedName>
    <definedName name="_2196_______________________________________________________________________________________S" hidden="1">[3]Sheet3!#REF!</definedName>
    <definedName name="_2196_____________________________________________________________________________0_F" hidden="1">#REF!</definedName>
    <definedName name="_2197_____________________________________________________________________________0_S" hidden="1">#REF!</definedName>
    <definedName name="_2198_______________________________________________________________________________________S" hidden="1">#REF!</definedName>
    <definedName name="_2198_____________________________________________________________________________0_S" hidden="1">#REF!</definedName>
    <definedName name="_2199_____________________________________________________________________________0\SM">'[4]#REF'!#REF!</definedName>
    <definedName name="_22_____________________________________________________________________________________________________________________________________________________________________________F" hidden="1">[3]Sheet3!#REF!</definedName>
    <definedName name="_22____________________________________________________________________________________________________________________________________________________________________________0_F" hidden="1">#REF!</definedName>
    <definedName name="_220_________________________________________________________________________________________________________________________________________________________________________123Grap" hidden="1">[1]공문!#REF!</definedName>
    <definedName name="_220___________________________________________________________________________________________________________________________________________________________________0_S" hidden="1">#REF!</definedName>
    <definedName name="_2200______________________________________________________________________________________\LA">'[2]#REF'!#REF!</definedName>
    <definedName name="_2200___________________________________________________________________________0_0__123Grap" hidden="1">[1]공문!#REF!</definedName>
    <definedName name="_2201___________________________________________________________________________0_0_F" hidden="1">[3]Sheet3!#REF!</definedName>
    <definedName name="_2202______________________________________________________________________________________\MID">'[2]#REF'!#REF!</definedName>
    <definedName name="_2202___________________________________________________________________________0_0_S" hidden="1">[3]Sheet3!#REF!</definedName>
    <definedName name="_2204______________________________________________________________________________________\SM">'[2]#REF'!#REF!</definedName>
    <definedName name="_2204___________________________________________________________________________3__Crite">#REF!</definedName>
    <definedName name="_2205___________________________________________________________________________3__Criteria">#REF!</definedName>
    <definedName name="_2206_____________________________________________________________________________________0_F" hidden="1">#REF!</definedName>
    <definedName name="_2208_____________________________________________________________________________________0_S" hidden="1">#REF!</definedName>
    <definedName name="_2208___________________________________________________________________________G_0Extract">#REF!</definedName>
    <definedName name="_2209______________________________________________________________________________________________________________________F" hidden="1">#REF!</definedName>
    <definedName name="_2209___________________________________________________________________________G__Extr">#REF!</definedName>
    <definedName name="_221___________________________________________________________________________________________________________________________________________________________________0\SM">'[4]#REF'!#REF!</definedName>
    <definedName name="_2210_____________________________________________________________________________________0_S" hidden="1">#REF!</definedName>
    <definedName name="_2210___________________________________________________________________________G__Extract">#REF!</definedName>
    <definedName name="_2211______________________________________________________________________________________________________________________F" hidden="1">[3]Sheet3!#REF!</definedName>
    <definedName name="_2211______________________________________________________________________________ME">'[2]#REF'!#REF!</definedName>
    <definedName name="_2212_____________________________________________________________________________________0\SM">'[4]#REF'!#REF!</definedName>
    <definedName name="_2212______________________________________________________________________________ME">'[2]#REF'!#REF!</definedName>
    <definedName name="_2214___________________________________________________________________________________0_0__123Grap" hidden="1">[1]공문!#REF!</definedName>
    <definedName name="_2216___________________________________________________________________________________0_0_F" hidden="1">[3]Sheet3!#REF!</definedName>
    <definedName name="_2218______________________________________________________________________________________________________________________S" hidden="1">#REF!</definedName>
    <definedName name="_2218___________________________________________________________________________________0_0_S" hidden="1">[3]Sheet3!#REF!</definedName>
    <definedName name="_222______________________________________________________________________________________________________________________________________________________________________3__Crite">#REF!</definedName>
    <definedName name="_222_________________________________________________________________________________________________________________________________________________________________0_0__123Grap" hidden="1">[1]공문!#REF!</definedName>
    <definedName name="_2220______________________________________________________________________________________________________________________S" hidden="1">[3]Sheet3!#REF!</definedName>
    <definedName name="_2220___________________________________________________________________________________3__Crite">#REF!</definedName>
    <definedName name="_2222______________________________________________________________________________________________________________________S" hidden="1">#REF!</definedName>
    <definedName name="_2222___________________________________________________________________________________3__Criteria">#REF!</definedName>
    <definedName name="_2224_____________________________________________________________________________________________________________________\LA">'[2]#REF'!#REF!</definedName>
    <definedName name="_2226_____________________________________________________________________________________________________________________\MID">'[2]#REF'!#REF!</definedName>
    <definedName name="_2226___________________________________________________________________________________G_0Extract">#REF!</definedName>
    <definedName name="_2228_____________________________________________________________________________________________________________________\SM">'[2]#REF'!#REF!</definedName>
    <definedName name="_2228___________________________________________________________________________________G__Extr">#REF!</definedName>
    <definedName name="_223_________________________________________________________________________________________________________________________________________________________________0_0_F" hidden="1">[3]Sheet3!#REF!</definedName>
    <definedName name="_2230____________________________________________________________________________________________________________________0_F" hidden="1">#REF!</definedName>
    <definedName name="_2230___________________________________________________________________________________G__Extract">#REF!</definedName>
    <definedName name="_2232____________________________________________________________________________________________________________________0_S" hidden="1">#REF!</definedName>
    <definedName name="_2232______________________________________________________________________________________ME">'[2]#REF'!#REF!</definedName>
    <definedName name="_2234____________________________________________________________________________________________________________________0_S" hidden="1">#REF!</definedName>
    <definedName name="_2234______________________________________________________________________________________ME">'[2]#REF'!#REF!</definedName>
    <definedName name="_2236____________________________________________________________________________________________________________________0\SM">'[4]#REF'!#REF!</definedName>
    <definedName name="_2238__________________________________________________________________________________________________________________0_0__123Grap" hidden="1">[1]공문!#REF!</definedName>
    <definedName name="_224______________________________________________________________________________________________________________________________________________________________________3__Criteria">#REF!</definedName>
    <definedName name="_224_________________________________________________________________________________________________________________________________________________________________0_0_S" hidden="1">[3]Sheet3!#REF!</definedName>
    <definedName name="_2240__________________________________________________________________________________________________________________0_0_F" hidden="1">[3]Sheet3!#REF!</definedName>
    <definedName name="_2242__________________________________________________________________________________________________________________0_0_S" hidden="1">[3]Sheet3!#REF!</definedName>
    <definedName name="_2245__________________________________________________________________________________________________________________3__Crite">#REF!</definedName>
    <definedName name="_2247__________________________________________________________________________________________________________________3__Criteria">#REF!</definedName>
    <definedName name="_2249____________________________________________________________________________123Grap" hidden="1">[1]공문!#REF!</definedName>
    <definedName name="_225____________________________________________________________________________________________________________________________________________________________________123Grap" hidden="1">[1]공문!#REF!</definedName>
    <definedName name="_2253__________________________________________________________________________________________________________________G_0Extract">#REF!</definedName>
    <definedName name="_2255__________________________________________________________________________________________________________________G__Extr">#REF!</definedName>
    <definedName name="_2256____________________________________________________________________________________123Grap" hidden="1">[1]공문!#REF!</definedName>
    <definedName name="_2257__________________________________________________________________________________________________________________G__Extract">#REF!</definedName>
    <definedName name="_2259_____________________________________________________________________________________________________________________ME">'[2]#REF'!#REF!</definedName>
    <definedName name="_2259___________________________________________________________________________________F" hidden="1">#REF!</definedName>
    <definedName name="_226_________________________________________________________________________________________________________________________________________________________________________F" hidden="1">#REF!</definedName>
    <definedName name="_226_________________________________________________________________________________________________________________________________________________________________3__Crite">#REF!</definedName>
    <definedName name="_2261_____________________________________________________________________________________________________________________ME">'[2]#REF'!#REF!</definedName>
    <definedName name="_2261___________________________________________________________________________________F" hidden="1">[3]Sheet3!#REF!</definedName>
    <definedName name="_2263___________________________________________________________________________________S" hidden="1">#REF!</definedName>
    <definedName name="_2265___________________________________________________________________________________S" hidden="1">[3]Sheet3!#REF!</definedName>
    <definedName name="_2267___________________________________________________________________________________S" hidden="1">#REF!</definedName>
    <definedName name="_2269__________________________________________________________________________________\LA">'[2]#REF'!#REF!</definedName>
    <definedName name="_227_________________________________________________________________________________________________________________________________________________________________3__Criteria">#REF!</definedName>
    <definedName name="_2271__________________________________________________________________________________\MID">'[2]#REF'!#REF!</definedName>
    <definedName name="_2273__________________________________________________________________________________\SM">'[2]#REF'!#REF!</definedName>
    <definedName name="_2275_________________________________________________________________________________0_F" hidden="1">#REF!</definedName>
    <definedName name="_2275___________________________________________________________________________F" hidden="1">#REF!</definedName>
    <definedName name="_2276___________________________________________________________________________F" hidden="1">[3]Sheet3!#REF!</definedName>
    <definedName name="_2277_________________________________________________________________________________0_S" hidden="1">#REF!</definedName>
    <definedName name="_2279_________________________________________________________________________________0_S" hidden="1">#REF!</definedName>
    <definedName name="_228_________________________________________________________________________________________________________________________________________________________________________F" hidden="1">[3]Sheet3!#REF!</definedName>
    <definedName name="_228____________________________________________________________________________________________________________________________________________________________________F" hidden="1">#REF!</definedName>
    <definedName name="_2281_________________________________________________________________________________0\SM">'[4]#REF'!#REF!</definedName>
    <definedName name="_2282___________________________________________________________________________S" hidden="1">#REF!</definedName>
    <definedName name="_2283_______________________________________________________________________________0_0__123Grap" hidden="1">[1]공문!#REF!</definedName>
    <definedName name="_2283___________________________________________________________________________S" hidden="1">[3]Sheet3!#REF!</definedName>
    <definedName name="_2284___________________________________________________________________________S" hidden="1">#REF!</definedName>
    <definedName name="_2285_______________________________________________________________________________0_0_F" hidden="1">[3]Sheet3!#REF!</definedName>
    <definedName name="_2285__________________________________________________________________________\LA">'[2]#REF'!#REF!</definedName>
    <definedName name="_2286__________________________________________________________________________\MID">'[2]#REF'!#REF!</definedName>
    <definedName name="_2287_______________________________________________________________________________0_0_S" hidden="1">[3]Sheet3!#REF!</definedName>
    <definedName name="_2287__________________________________________________________________________\SM">'[2]#REF'!#REF!</definedName>
    <definedName name="_2288_________________________________________________________________________0_F" hidden="1">#REF!</definedName>
    <definedName name="_2289_______________________________________________________________________________3__Crite">#REF!</definedName>
    <definedName name="_2289_________________________________________________________________________0_S" hidden="1">#REF!</definedName>
    <definedName name="_229____________________________________________________________________________________________________________________________________________________________________F" hidden="1">[3]Sheet3!#REF!</definedName>
    <definedName name="_2290_________________________________________________________________________0_S" hidden="1">#REF!</definedName>
    <definedName name="_2291_______________________________________________________________________________3__Criteria">#REF!</definedName>
    <definedName name="_2291_________________________________________________________________________0\SM">'[4]#REF'!#REF!</definedName>
    <definedName name="_2292_______________________________________________________________________0_0__123Grap" hidden="1">[1]공문!#REF!</definedName>
    <definedName name="_2293_______________________________________________________________________0_0_F" hidden="1">[3]Sheet3!#REF!</definedName>
    <definedName name="_2294_______________________________________________________________________0_0_S" hidden="1">[3]Sheet3!#REF!</definedName>
    <definedName name="_2295_______________________________________________________________________________G_0Extract">#REF!</definedName>
    <definedName name="_2296_______________________________________________________________________3__Crite">#REF!</definedName>
    <definedName name="_2297_______________________________________________________________________________G__Extr">#REF!</definedName>
    <definedName name="_2297_______________________________________________________________________3__Criteria">#REF!</definedName>
    <definedName name="_2299_______________________________________________________________________________G__Extract">#REF!</definedName>
    <definedName name="_23__________________________________________________________________________________________________________________________________________________________________________G_0Extract">#REF!</definedName>
    <definedName name="_230______________________________________________________________________________________________________________________________________________________________________G_0Extract">#REF!</definedName>
    <definedName name="_230_________________________________________________________________________________________________________________________________________________________________G_0Extract">#REF!</definedName>
    <definedName name="_2300_______________________________________________________________________G_0Extract">#REF!</definedName>
    <definedName name="_2301__________________________________________________________________________________ME">'[2]#REF'!#REF!</definedName>
    <definedName name="_2301_______________________________________________________________________G__Extr">#REF!</definedName>
    <definedName name="_2302_______________________________________________________________________G__Extract">#REF!</definedName>
    <definedName name="_2303__________________________________________________________________________________ME">'[2]#REF'!#REF!</definedName>
    <definedName name="_2303__________________________________________________________________________ME">'[2]#REF'!#REF!</definedName>
    <definedName name="_2304__________________________________________________________________________ME">'[2]#REF'!#REF!</definedName>
    <definedName name="_231_________________________________________________________________________________________________________________________________________________________________G__Extr">#REF!</definedName>
    <definedName name="_2319___________________________________________________________________________________________________________________123Grap" hidden="1">[1]공문!#REF!</definedName>
    <definedName name="_232______________________________________________________________________________________________________________________________________________________________________G__Extr">#REF!</definedName>
    <definedName name="_232_________________________________________________________________________________________________________________________________________________________________G__Extract">#REF!</definedName>
    <definedName name="_2325________________________________________________________________________________123Grap" hidden="1">[1]공문!#REF!</definedName>
    <definedName name="_2328_______________________________________________________________________________F" hidden="1">#REF!</definedName>
    <definedName name="_233____________________________________________________________________________________________________________________________________________________________________ME">'[2]#REF'!#REF!</definedName>
    <definedName name="_2330_______________________________________________________________________________F" hidden="1">[3]Sheet3!#REF!</definedName>
    <definedName name="_2332_______________________________________________________________________________S" hidden="1">#REF!</definedName>
    <definedName name="_2334_______________________________________________________________________________S" hidden="1">[3]Sheet3!#REF!</definedName>
    <definedName name="_2336_______________________________________________________________________________S" hidden="1">#REF!</definedName>
    <definedName name="_2338______________________________________________________________________________\LA">'[2]#REF'!#REF!</definedName>
    <definedName name="_234______________________________________________________________________________________________________________________________________________________________________G__Extract">#REF!</definedName>
    <definedName name="_234____________________________________________________________________________________________________________________________________________________________________ME">'[2]#REF'!#REF!</definedName>
    <definedName name="_2340______________________________________________________________________________\MID">'[2]#REF'!#REF!</definedName>
    <definedName name="_2341________________________________________________________________________123Grap" hidden="1">[1]공문!#REF!</definedName>
    <definedName name="_2342______________________________________________________________________________\SM">'[2]#REF'!#REF!</definedName>
    <definedName name="_2344_____________________________________________________________________________0_F" hidden="1">#REF!</definedName>
    <definedName name="_2346_____________________________________________________________________________0_S" hidden="1">#REF!</definedName>
    <definedName name="_2347__________________________________________________________________________________________________________________F" hidden="1">#REF!</definedName>
    <definedName name="_2348_____________________________________________________________________________0_S" hidden="1">#REF!</definedName>
    <definedName name="_2349__________________________________________________________________________________________________________________F" hidden="1">[3]Sheet3!#REF!</definedName>
    <definedName name="_235____________________________________________________________________________________________________________________________________________________________________S" hidden="1">#REF!</definedName>
    <definedName name="_2350_____________________________________________________________________________0\SM">'[4]#REF'!#REF!</definedName>
    <definedName name="_2352___________________________________________________________________________0_0__123Grap" hidden="1">[1]공문!#REF!</definedName>
    <definedName name="_2354___________________________________________________________________________0_0_F" hidden="1">[3]Sheet3!#REF!</definedName>
    <definedName name="_2356__________________________________________________________________________________________________________________S" hidden="1">#REF!</definedName>
    <definedName name="_2356___________________________________________________________________________0_0_S" hidden="1">[3]Sheet3!#REF!</definedName>
    <definedName name="_2358__________________________________________________________________________________________________________________S" hidden="1">[3]Sheet3!#REF!</definedName>
    <definedName name="_2358___________________________________________________________________________3__Crite">#REF!</definedName>
    <definedName name="_236_________________________________________________________________________________________________________________________________________________________________________ME">'[2]#REF'!#REF!</definedName>
    <definedName name="_236____________________________________________________________________________________________________________________________________________________________________S" hidden="1">[3]Sheet3!#REF!</definedName>
    <definedName name="_2360__________________________________________________________________________________________________________________S" hidden="1">#REF!</definedName>
    <definedName name="_2360___________________________________________________________________________3__Criteria">#REF!</definedName>
    <definedName name="_2362_________________________________________________________________________________________________________________\LA">'[2]#REF'!#REF!</definedName>
    <definedName name="_2364_________________________________________________________________________________________________________________\MID">'[2]#REF'!#REF!</definedName>
    <definedName name="_2364___________________________________________________________________________G_0Extract">#REF!</definedName>
    <definedName name="_2366_________________________________________________________________________________________________________________\SM">'[2]#REF'!#REF!</definedName>
    <definedName name="_2366___________________________________________________________________________G__Extr">#REF!</definedName>
    <definedName name="_2367_______________________________________________________________________F" hidden="1">#REF!</definedName>
    <definedName name="_2368________________________________________________________________________________________________________________0_F" hidden="1">#REF!</definedName>
    <definedName name="_2368___________________________________________________________________________G__Extract">#REF!</definedName>
    <definedName name="_2368_______________________________________________________________________F" hidden="1">[3]Sheet3!#REF!</definedName>
    <definedName name="_237____________________________________________________________________________________________________________________________________________________________________S" hidden="1">#REF!</definedName>
    <definedName name="_2370________________________________________________________________________________________________________________0_S" hidden="1">#REF!</definedName>
    <definedName name="_2370______________________________________________________________________________ME">'[2]#REF'!#REF!</definedName>
    <definedName name="_2372________________________________________________________________________________________________________________0_S" hidden="1">#REF!</definedName>
    <definedName name="_2372______________________________________________________________________________ME">'[2]#REF'!#REF!</definedName>
    <definedName name="_2374________________________________________________________________________________________________________________0\SM">'[4]#REF'!#REF!</definedName>
    <definedName name="_2374_______________________________________________________________________S" hidden="1">#REF!</definedName>
    <definedName name="_2375_______________________________________________________________________S" hidden="1">[3]Sheet3!#REF!</definedName>
    <definedName name="_2376______________________________________________________________________________________________________________0_0__123Grap" hidden="1">[1]공문!#REF!</definedName>
    <definedName name="_2376_______________________________________________________________________S" hidden="1">#REF!</definedName>
    <definedName name="_2377______________________________________________________________________\LA">'[2]#REF'!#REF!</definedName>
    <definedName name="_2378______________________________________________________________________________________________________________0_0_F" hidden="1">[3]Sheet3!#REF!</definedName>
    <definedName name="_2378______________________________________________________________________\MID">'[2]#REF'!#REF!</definedName>
    <definedName name="_2379______________________________________________________________________\SM">'[2]#REF'!#REF!</definedName>
    <definedName name="_238_________________________________________________________________________________________________________________________________________________________________________ME">'[2]#REF'!#REF!</definedName>
    <definedName name="_238___________________________________________________________________________________________________________________________________________________________________\LA">'[2]#REF'!#REF!</definedName>
    <definedName name="_2380______________________________________________________________________________________________________________0_0_S" hidden="1">[3]Sheet3!#REF!</definedName>
    <definedName name="_2380_____________________________________________________________________0_F" hidden="1">#REF!</definedName>
    <definedName name="_2381_____________________________________________________________________0_S" hidden="1">#REF!</definedName>
    <definedName name="_2382_____________________________________________________________________0_S" hidden="1">#REF!</definedName>
    <definedName name="_2383______________________________________________________________________________________________________________3__Crite">#REF!</definedName>
    <definedName name="_2383_____________________________________________________________________0\SM">'[4]#REF'!#REF!</definedName>
    <definedName name="_2384___________________________________________________________________0_0__123Grap" hidden="1">[1]공문!#REF!</definedName>
    <definedName name="_2385______________________________________________________________________________________________________________3__Criteria">#REF!</definedName>
    <definedName name="_2385___________________________________________________________________0_0_F" hidden="1">[3]Sheet3!#REF!</definedName>
    <definedName name="_2386___________________________________________________________________0_0_S" hidden="1">[3]Sheet3!#REF!</definedName>
    <definedName name="_2388___________________________________________________________________3__Crite">#REF!</definedName>
    <definedName name="_2389___________________________________________________________________3__Criteria">#REF!</definedName>
    <definedName name="_239___________________________________________________________________________________________________________________________________________________________________\MID">'[2]#REF'!#REF!</definedName>
    <definedName name="_2391______________________________________________________________________________________________________________G_0Extract">#REF!</definedName>
    <definedName name="_2392___________________________________________________________________G_0Extract">#REF!</definedName>
    <definedName name="_2393______________________________________________________________________________________________________________G__Extr">#REF!</definedName>
    <definedName name="_2393___________________________________________________________________G__Extr">#REF!</definedName>
    <definedName name="_2394____________________________________________________________________________123Grap" hidden="1">[1]공문!#REF!</definedName>
    <definedName name="_2394___________________________________________________________________G__Extract">#REF!</definedName>
    <definedName name="_2395______________________________________________________________________________________________________________G__Extract">#REF!</definedName>
    <definedName name="_2395______________________________________________________________________ME">'[2]#REF'!#REF!</definedName>
    <definedName name="_2396______________________________________________________________________ME">'[2]#REF'!#REF!</definedName>
    <definedName name="_2397_________________________________________________________________________________________________________________ME">'[2]#REF'!#REF!</definedName>
    <definedName name="_2397___________________________________________________________________________F" hidden="1">#REF!</definedName>
    <definedName name="_2399_________________________________________________________________________________________________________________ME">'[2]#REF'!#REF!</definedName>
    <definedName name="_2399___________________________________________________________________________F" hidden="1">[3]Sheet3!#REF!</definedName>
    <definedName name="_24____________________________________________________________________________________________________________________________________________________________________________0_S" hidden="1">#REF!</definedName>
    <definedName name="_24__________________________________________________________________________________________________________________________________________________________________________G__Extr">#REF!</definedName>
    <definedName name="_240_________________________________________________________________________________________________________________________________________________________________________S" hidden="1">#REF!</definedName>
    <definedName name="_240___________________________________________________________________________________________________________________________________________________________________\SM">'[2]#REF'!#REF!</definedName>
    <definedName name="_2401___________________________________________________________________________S" hidden="1">#REF!</definedName>
    <definedName name="_2403___________________________________________________________________________S" hidden="1">[3]Sheet3!#REF!</definedName>
    <definedName name="_2405___________________________________________________________________________S" hidden="1">#REF!</definedName>
    <definedName name="_2407__________________________________________________________________________\LA">'[2]#REF'!#REF!</definedName>
    <definedName name="_2409__________________________________________________________________________\MID">'[2]#REF'!#REF!</definedName>
    <definedName name="_241__________________________________________________________________________________________________________________________________________________________________0_F" hidden="1">#REF!</definedName>
    <definedName name="_2411__________________________________________________________________________\SM">'[2]#REF'!#REF!</definedName>
    <definedName name="_2413_________________________________________________________________________0_F" hidden="1">#REF!</definedName>
    <definedName name="_2415_________________________________________________________________________0_S" hidden="1">#REF!</definedName>
    <definedName name="_2417_________________________________________________________________________0_S" hidden="1">#REF!</definedName>
    <definedName name="_2419_________________________________________________________________________0\SM">'[4]#REF'!#REF!</definedName>
    <definedName name="_242_________________________________________________________________________________________________________________________________________________________________________S" hidden="1">[3]Sheet3!#REF!</definedName>
    <definedName name="_242__________________________________________________________________________________________________________________________________________________________________0_S" hidden="1">#REF!</definedName>
    <definedName name="_2421_______________________________________________________________________0_0__123Grap" hidden="1">[1]공문!#REF!</definedName>
    <definedName name="_2423_______________________________________________________________________0_0_F" hidden="1">[3]Sheet3!#REF!</definedName>
    <definedName name="_2425_______________________________________________________________________0_0_S" hidden="1">[3]Sheet3!#REF!</definedName>
    <definedName name="_2427_______________________________________________________________________3__Crite">#REF!</definedName>
    <definedName name="_2429_______________________________________________________________________3__Criteria">#REF!</definedName>
    <definedName name="_243__________________________________________________________________________________________________________________________________________________________________0_S" hidden="1">#REF!</definedName>
    <definedName name="_2433_______________________________________________________________________G_0Extract">#REF!</definedName>
    <definedName name="_2433____________________________________________________________________123Grap" hidden="1">[1]공문!#REF!</definedName>
    <definedName name="_2435_______________________________________________________________________G__Extr">#REF!</definedName>
    <definedName name="_2437_______________________________________________________________________G__Extract">#REF!</definedName>
    <definedName name="_2439__________________________________________________________________________ME">'[2]#REF'!#REF!</definedName>
    <definedName name="_244_________________________________________________________________________________________________________________________________________________________________________S" hidden="1">#REF!</definedName>
    <definedName name="_244__________________________________________________________________________________________________________________________________________________________________0\SM">'[4]#REF'!#REF!</definedName>
    <definedName name="_2441__________________________________________________________________________ME">'[2]#REF'!#REF!</definedName>
    <definedName name="_245________________________________________________________________________________________________________________________________________________________________0_0__123Grap" hidden="1">[1]공문!#REF!</definedName>
    <definedName name="_2457_______________________________________________________________________________________________________________123Grap" hidden="1">[1]공문!#REF!</definedName>
    <definedName name="_2459___________________________________________________________________F" hidden="1">#REF!</definedName>
    <definedName name="_246________________________________________________________________________________________________________________________________________________________________________\LA">'[2]#REF'!#REF!</definedName>
    <definedName name="_246________________________________________________________________________________________________________________________________________________________________0_0_F" hidden="1">[3]Sheet3!#REF!</definedName>
    <definedName name="_2460___________________________________________________________________F" hidden="1">[3]Sheet3!#REF!</definedName>
    <definedName name="_2463________________________________________________________________________123Grap" hidden="1">[1]공문!#REF!</definedName>
    <definedName name="_2466_______________________________________________________________________F" hidden="1">#REF!</definedName>
    <definedName name="_2466___________________________________________________________________S" hidden="1">#REF!</definedName>
    <definedName name="_2467___________________________________________________________________S" hidden="1">[3]Sheet3!#REF!</definedName>
    <definedName name="_2468_______________________________________________________________________F" hidden="1">[3]Sheet3!#REF!</definedName>
    <definedName name="_2468___________________________________________________________________S" hidden="1">#REF!</definedName>
    <definedName name="_2469__________________________________________________________________\LA">'[2]#REF'!#REF!</definedName>
    <definedName name="_247________________________________________________________________________________________________________________________________________________________________0_0_S" hidden="1">[3]Sheet3!#REF!</definedName>
    <definedName name="_2470_______________________________________________________________________S" hidden="1">#REF!</definedName>
    <definedName name="_2470__________________________________________________________________\MID">'[2]#REF'!#REF!</definedName>
    <definedName name="_2471__________________________________________________________________\SM">'[2]#REF'!#REF!</definedName>
    <definedName name="_2472_______________________________________________________________________S" hidden="1">[3]Sheet3!#REF!</definedName>
    <definedName name="_2472_________________________________________________________________0_F" hidden="1">#REF!</definedName>
    <definedName name="_2473_________________________________________________________________0_S" hidden="1">#REF!</definedName>
    <definedName name="_2474_______________________________________________________________________S" hidden="1">#REF!</definedName>
    <definedName name="_2474_________________________________________________________________0_S" hidden="1">#REF!</definedName>
    <definedName name="_2475_________________________________________________________________0\SM">'[4]#REF'!#REF!</definedName>
    <definedName name="_2476______________________________________________________________________\LA">'[2]#REF'!#REF!</definedName>
    <definedName name="_2476_______________________________________________________________0_0__123Grap" hidden="1">[1]공문!#REF!</definedName>
    <definedName name="_2477_______________________________________________________________0_0_F" hidden="1">[3]Sheet3!#REF!</definedName>
    <definedName name="_2478______________________________________________________________________\MID">'[2]#REF'!#REF!</definedName>
    <definedName name="_2478_______________________________________________________________0_0_S" hidden="1">[3]Sheet3!#REF!</definedName>
    <definedName name="_248________________________________________________________________________________________________________________________________________________________________________\MID">'[2]#REF'!#REF!</definedName>
    <definedName name="_248___________________________________________________________________________________________________________________________________________________________________123Grap" hidden="1">[1]공문!#REF!</definedName>
    <definedName name="_2480______________________________________________________________________\SM">'[2]#REF'!#REF!</definedName>
    <definedName name="_2480_______________________________________________________________3__Crite">#REF!</definedName>
    <definedName name="_2481_______________________________________________________________3__Criteria">#REF!</definedName>
    <definedName name="_2482_____________________________________________________________________0_F" hidden="1">#REF!</definedName>
    <definedName name="_2484_____________________________________________________________________0_S" hidden="1">#REF!</definedName>
    <definedName name="_2484_______________________________________________________________G_0Extract">#REF!</definedName>
    <definedName name="_2485______________________________________________________________________________________________________________F" hidden="1">#REF!</definedName>
    <definedName name="_2485_______________________________________________________________G__Extr">#REF!</definedName>
    <definedName name="_2486_____________________________________________________________________0_S" hidden="1">#REF!</definedName>
    <definedName name="_2486_______________________________________________________________G__Extract">#REF!</definedName>
    <definedName name="_2487______________________________________________________________________________________________________________F" hidden="1">[3]Sheet3!#REF!</definedName>
    <definedName name="_2487__________________________________________________________________ME">'[2]#REF'!#REF!</definedName>
    <definedName name="_2488_____________________________________________________________________0\SM">'[4]#REF'!#REF!</definedName>
    <definedName name="_2488__________________________________________________________________ME">'[2]#REF'!#REF!</definedName>
    <definedName name="_249________________________________________________________________________________________________________________________________________________________________3__Crite">#REF!</definedName>
    <definedName name="_2490___________________________________________________________________0_0__123Grap" hidden="1">[1]공문!#REF!</definedName>
    <definedName name="_2492___________________________________________________________________0_0_F" hidden="1">[3]Sheet3!#REF!</definedName>
    <definedName name="_2494______________________________________________________________________________________________________________S" hidden="1">#REF!</definedName>
    <definedName name="_2494___________________________________________________________________0_0_S" hidden="1">[3]Sheet3!#REF!</definedName>
    <definedName name="_2496______________________________________________________________________________________________________________S" hidden="1">[3]Sheet3!#REF!</definedName>
    <definedName name="_2496___________________________________________________________________3__Crite">#REF!</definedName>
    <definedName name="_2498______________________________________________________________________________________________________________S" hidden="1">#REF!</definedName>
    <definedName name="_2498___________________________________________________________________3__Criteria">#REF!</definedName>
    <definedName name="_25__________________________________________________________________________________________________________________________________________________________________________G__Extract">#REF!</definedName>
    <definedName name="_250________________________________________________________________________________________________________________________________________________________________________\SM">'[2]#REF'!#REF!</definedName>
    <definedName name="_250________________________________________________________________________________________________________________________________________________________________3__Criteria">#REF!</definedName>
    <definedName name="_2500_____________________________________________________________________________________________________________\LA">'[2]#REF'!#REF!</definedName>
    <definedName name="_2502_____________________________________________________________________________________________________________\MID">'[2]#REF'!#REF!</definedName>
    <definedName name="_2502___________________________________________________________________G_0Extract">#REF!</definedName>
    <definedName name="_2502_________________________________________________________________123Grap" hidden="1">[1]공문!#REF!</definedName>
    <definedName name="_2504_____________________________________________________________________________________________________________\SM">'[2]#REF'!#REF!</definedName>
    <definedName name="_2504___________________________________________________________________G__Extr">#REF!</definedName>
    <definedName name="_2506____________________________________________________________________________________________________________0_F" hidden="1">#REF!</definedName>
    <definedName name="_2506___________________________________________________________________G__Extract">#REF!</definedName>
    <definedName name="_2508____________________________________________________________________________________________________________0_S" hidden="1">#REF!</definedName>
    <definedName name="_2508______________________________________________________________________ME">'[2]#REF'!#REF!</definedName>
    <definedName name="_251___________________________________________________________________________________________________________________________________________________________________F" hidden="1">#REF!</definedName>
    <definedName name="_2510____________________________________________________________________________________________________________0_S" hidden="1">#REF!</definedName>
    <definedName name="_2510______________________________________________________________________ME">'[2]#REF'!#REF!</definedName>
    <definedName name="_2512____________________________________________________________________________________________________________0\SM">'[4]#REF'!#REF!</definedName>
    <definedName name="_2514__________________________________________________________________________________________________________0_0__123Grap" hidden="1">[1]공문!#REF!</definedName>
    <definedName name="_2516__________________________________________________________________________________________________________0_0_F" hidden="1">[3]Sheet3!#REF!</definedName>
    <definedName name="_2518__________________________________________________________________________________________________________0_0_S" hidden="1">[3]Sheet3!#REF!</definedName>
    <definedName name="_252_______________________________________________________________________________________________________________________________________________________________________0_F" hidden="1">#REF!</definedName>
    <definedName name="_252___________________________________________________________________________________________________________________________________________________________________F" hidden="1">[3]Sheet3!#REF!</definedName>
    <definedName name="_2521__________________________________________________________________________________________________________3__Crite">#REF!</definedName>
    <definedName name="_2523__________________________________________________________________________________________________________3__Criteria">#REF!</definedName>
    <definedName name="_2528________________________________________________________________F" hidden="1">#REF!</definedName>
    <definedName name="_2529__________________________________________________________________________________________________________G_0Extract">#REF!</definedName>
    <definedName name="_2529________________________________________________________________F" hidden="1">[3]Sheet3!#REF!</definedName>
    <definedName name="_253________________________________________________________________________________________________________________________________________________________________G_0Extract">#REF!</definedName>
    <definedName name="_2531__________________________________________________________________________________________________________G__Extr">#REF!</definedName>
    <definedName name="_2532____________________________________________________________________123Grap" hidden="1">[1]공문!#REF!</definedName>
    <definedName name="_2533__________________________________________________________________________________________________________G__Extract">#REF!</definedName>
    <definedName name="_2535_____________________________________________________________________________________________________________ME">'[2]#REF'!#REF!</definedName>
    <definedName name="_2535___________________________________________________________________F" hidden="1">#REF!</definedName>
    <definedName name="_2535________________________________________________________________S" hidden="1">#REF!</definedName>
    <definedName name="_2536________________________________________________________________S" hidden="1">[3]Sheet3!#REF!</definedName>
    <definedName name="_2537_____________________________________________________________________________________________________________ME">'[2]#REF'!#REF!</definedName>
    <definedName name="_2537___________________________________________________________________F" hidden="1">[3]Sheet3!#REF!</definedName>
    <definedName name="_2537________________________________________________________________S" hidden="1">#REF!</definedName>
    <definedName name="_2538_______________________________________________________________\LA">'[2]#REF'!#REF!</definedName>
    <definedName name="_2539___________________________________________________________________S" hidden="1">#REF!</definedName>
    <definedName name="_2539_______________________________________________________________\MID">'[2]#REF'!#REF!</definedName>
    <definedName name="_254_______________________________________________________________________________________________________________________________________________________________________0_S" hidden="1">#REF!</definedName>
    <definedName name="_254________________________________________________________________________________________________________________________________________________________________G__Extr">#REF!</definedName>
    <definedName name="_2540_______________________________________________________________\SM">'[2]#REF'!#REF!</definedName>
    <definedName name="_2541___________________________________________________________________S" hidden="1">[3]Sheet3!#REF!</definedName>
    <definedName name="_2541______________________________________________________________0_F" hidden="1">#REF!</definedName>
    <definedName name="_2542______________________________________________________________0_S" hidden="1">#REF!</definedName>
    <definedName name="_2543___________________________________________________________________S" hidden="1">#REF!</definedName>
    <definedName name="_2543______________________________________________________________0_S" hidden="1">#REF!</definedName>
    <definedName name="_2544______________________________________________________________0\SM">'[4]#REF'!#REF!</definedName>
    <definedName name="_2545__________________________________________________________________\LA">'[2]#REF'!#REF!</definedName>
    <definedName name="_2545____________________________________________________________0_0__123Grap" hidden="1">[1]공문!#REF!</definedName>
    <definedName name="_2546____________________________________________________________0_0_F" hidden="1">[3]Sheet3!#REF!</definedName>
    <definedName name="_2547__________________________________________________________________\MID">'[2]#REF'!#REF!</definedName>
    <definedName name="_2547____________________________________________________________0_0_S" hidden="1">[3]Sheet3!#REF!</definedName>
    <definedName name="_2549__________________________________________________________________\SM">'[2]#REF'!#REF!</definedName>
    <definedName name="_2549____________________________________________________________3__Crite">#REF!</definedName>
    <definedName name="_255________________________________________________________________________________________________________________________________________________________________G__Extract">#REF!</definedName>
    <definedName name="_2550____________________________________________________________3__Criteria">#REF!</definedName>
    <definedName name="_2551_________________________________________________________________0_F" hidden="1">#REF!</definedName>
    <definedName name="_2553_________________________________________________________________0_S" hidden="1">#REF!</definedName>
    <definedName name="_2553____________________________________________________________G_0Extract">#REF!</definedName>
    <definedName name="_2554____________________________________________________________G__Extr">#REF!</definedName>
    <definedName name="_2555_________________________________________________________________0_S" hidden="1">#REF!</definedName>
    <definedName name="_2555____________________________________________________________G__Extract">#REF!</definedName>
    <definedName name="_2556_______________________________________________________________ME">'[2]#REF'!#REF!</definedName>
    <definedName name="_2557_________________________________________________________________0\SM">'[4]#REF'!#REF!</definedName>
    <definedName name="_2557_______________________________________________________________ME">'[2]#REF'!#REF!</definedName>
    <definedName name="_2559_______________________________________________________________0_0__123Grap" hidden="1">[1]공문!#REF!</definedName>
    <definedName name="_256_______________________________________________________________________________________________________________________________________________________________________0_S" hidden="1">#REF!</definedName>
    <definedName name="_256___________________________________________________________________________________________________________________________________________________________________ME">'[2]#REF'!#REF!</definedName>
    <definedName name="_2561_______________________________________________________________0_0_F" hidden="1">[3]Sheet3!#REF!</definedName>
    <definedName name="_2563_______________________________________________________________0_0_S" hidden="1">[3]Sheet3!#REF!</definedName>
    <definedName name="_2565_______________________________________________________________3__Crite">#REF!</definedName>
    <definedName name="_2567_______________________________________________________________3__Criteria">#REF!</definedName>
    <definedName name="_257___________________________________________________________________________________________________________________________________________________________________ME">'[2]#REF'!#REF!</definedName>
    <definedName name="_2571_______________________________________________________________G_0Extract">#REF!</definedName>
    <definedName name="_2571______________________________________________________________123Grap" hidden="1">[1]공문!#REF!</definedName>
    <definedName name="_2573_______________________________________________________________G__Extr">#REF!</definedName>
    <definedName name="_2575_______________________________________________________________G__Extract">#REF!</definedName>
    <definedName name="_2577__________________________________________________________________ME">'[2]#REF'!#REF!</definedName>
    <definedName name="_2579__________________________________________________________________ME">'[2]#REF'!#REF!</definedName>
    <definedName name="_258_______________________________________________________________________________________________________________________________________________________________________0\SM">'[4]#REF'!#REF!</definedName>
    <definedName name="_258___________________________________________________________________________________________________________________________________________________________________S" hidden="1">#REF!</definedName>
    <definedName name="_259___________________________________________________________________________________________________________________________________________________________________S" hidden="1">[3]Sheet3!#REF!</definedName>
    <definedName name="_2594_________________________________________________________________123Grap" hidden="1">[1]공문!#REF!</definedName>
    <definedName name="_2597_____________________________________________________________F" hidden="1">#REF!</definedName>
    <definedName name="_2598_____________________________________________________________F" hidden="1">[3]Sheet3!#REF!</definedName>
    <definedName name="_26_____________________________________________________________________________________________________________________________________________________________________________ME">'[2]#REF'!#REF!</definedName>
    <definedName name="_26____________________________________________________________________________________________________________________________________________________________________________0_S" hidden="1">#REF!</definedName>
    <definedName name="_260_____________________________________________________________________________________________________________________________________________________________________0_0__123Grap" hidden="1">[1]공문!#REF!</definedName>
    <definedName name="_260___________________________________________________________________________________________________________________________________________________________________S" hidden="1">#REF!</definedName>
    <definedName name="_2604________________________________________________________________F" hidden="1">#REF!</definedName>
    <definedName name="_2604_____________________________________________________________S" hidden="1">#REF!</definedName>
    <definedName name="_2605_____________________________________________________________S" hidden="1">[3]Sheet3!#REF!</definedName>
    <definedName name="_2606________________________________________________________________F" hidden="1">[3]Sheet3!#REF!</definedName>
    <definedName name="_2606_____________________________________________________________S" hidden="1">#REF!</definedName>
    <definedName name="_2607____________________________________________________________\LA">'[2]#REF'!#REF!</definedName>
    <definedName name="_2608________________________________________________________________S" hidden="1">#REF!</definedName>
    <definedName name="_2608____________________________________________________________\MID">'[2]#REF'!#REF!</definedName>
    <definedName name="_2609____________________________________________________________\SM">'[2]#REF'!#REF!</definedName>
    <definedName name="_261__________________________________________________________________________________________________________________________________________________________________\LA">'[2]#REF'!#REF!</definedName>
    <definedName name="_2610________________________________________________________________S" hidden="1">[3]Sheet3!#REF!</definedName>
    <definedName name="_2610___________________________________________________________0_F" hidden="1">#REF!</definedName>
    <definedName name="_2611___________________________________________________________0_S" hidden="1">#REF!</definedName>
    <definedName name="_2612________________________________________________________________S" hidden="1">#REF!</definedName>
    <definedName name="_2612___________________________________________________________0_S" hidden="1">#REF!</definedName>
    <definedName name="_2613___________________________________________________________0\SM">'[4]#REF'!#REF!</definedName>
    <definedName name="_2614_______________________________________________________________\LA">'[2]#REF'!#REF!</definedName>
    <definedName name="_2614_________________________________________________________0_0__123Grap" hidden="1">[1]공문!#REF!</definedName>
    <definedName name="_2615_________________________________________________________0_0_F" hidden="1">[3]Sheet3!#REF!</definedName>
    <definedName name="_2616_______________________________________________________________\MID">'[2]#REF'!#REF!</definedName>
    <definedName name="_2616_________________________________________________________0_0_S" hidden="1">[3]Sheet3!#REF!</definedName>
    <definedName name="_2618_______________________________________________________________\SM">'[2]#REF'!#REF!</definedName>
    <definedName name="_2618_________________________________________________________3__Crite">#REF!</definedName>
    <definedName name="_2619_________________________________________________________3__Criteria">#REF!</definedName>
    <definedName name="_262_____________________________________________________________________________________________________________________________________________________________________0_0_F" hidden="1">[3]Sheet3!#REF!</definedName>
    <definedName name="_262__________________________________________________________________________________________________________________________________________________________________\MID">'[2]#REF'!#REF!</definedName>
    <definedName name="_2620______________________________________________________________0_F" hidden="1">#REF!</definedName>
    <definedName name="_2622______________________________________________________________0_S" hidden="1">#REF!</definedName>
    <definedName name="_2622_________________________________________________________G_0Extract">#REF!</definedName>
    <definedName name="_2623_________________________________________________________G__Extr">#REF!</definedName>
    <definedName name="_2624______________________________________________________________0_S" hidden="1">#REF!</definedName>
    <definedName name="_2624_________________________________________________________G__Extract">#REF!</definedName>
    <definedName name="_2625____________________________________________________________ME">'[2]#REF'!#REF!</definedName>
    <definedName name="_2626______________________________________________________________0\SM">'[4]#REF'!#REF!</definedName>
    <definedName name="_2626____________________________________________________________ME">'[2]#REF'!#REF!</definedName>
    <definedName name="_2628____________________________________________________________0_0__123Grap" hidden="1">[1]공문!#REF!</definedName>
    <definedName name="_263__________________________________________________________________________________________________________________________________________________________________\SM">'[2]#REF'!#REF!</definedName>
    <definedName name="_2630____________________________________________________________0_0_F" hidden="1">[3]Sheet3!#REF!</definedName>
    <definedName name="_2632____________________________________________________________0_0_S" hidden="1">[3]Sheet3!#REF!</definedName>
    <definedName name="_2634____________________________________________________________3__Crite">#REF!</definedName>
    <definedName name="_2636____________________________________________________________3__Criteria">#REF!</definedName>
    <definedName name="_264_____________________________________________________________________________________________________________________________________________________________________0_0_S" hidden="1">[3]Sheet3!#REF!</definedName>
    <definedName name="_264_________________________________________________________________________________________________________________________________________________________________0_F" hidden="1">#REF!</definedName>
    <definedName name="_2640____________________________________________________________G_0Extract">#REF!</definedName>
    <definedName name="_2640___________________________________________________________123Grap" hidden="1">[1]공문!#REF!</definedName>
    <definedName name="_2642____________________________________________________________G__Extr">#REF!</definedName>
    <definedName name="_2644____________________________________________________________G__Extract">#REF!</definedName>
    <definedName name="_2646_______________________________________________________________ME">'[2]#REF'!#REF!</definedName>
    <definedName name="_2648_______________________________________________________________ME">'[2]#REF'!#REF!</definedName>
    <definedName name="_265_________________________________________________________________________________________________________________________________________________________________0_S" hidden="1">#REF!</definedName>
    <definedName name="_266________________________________________________________________________________________________________________________________________________________________________123Grap" hidden="1">[1]공문!#REF!</definedName>
    <definedName name="_266_________________________________________________________________________________________________________________________________________________________________0_S" hidden="1">#REF!</definedName>
    <definedName name="_2663______________________________________________________________123Grap" hidden="1">[1]공문!#REF!</definedName>
    <definedName name="_2666__________________________________________________________F" hidden="1">#REF!</definedName>
    <definedName name="_2667__________________________________________________________F" hidden="1">[3]Sheet3!#REF!</definedName>
    <definedName name="_267_________________________________________________________________________________________________________________________________________________________________0\SM">'[4]#REF'!#REF!</definedName>
    <definedName name="_2673_____________________________________________________________F" hidden="1">#REF!</definedName>
    <definedName name="_2673__________________________________________________________S" hidden="1">#REF!</definedName>
    <definedName name="_2674__________________________________________________________S" hidden="1">[3]Sheet3!#REF!</definedName>
    <definedName name="_2675_____________________________________________________________F" hidden="1">[3]Sheet3!#REF!</definedName>
    <definedName name="_2675__________________________________________________________S" hidden="1">#REF!</definedName>
    <definedName name="_2676_________________________________________________________\LA">'[2]#REF'!#REF!</definedName>
    <definedName name="_2677_____________________________________________________________S" hidden="1">#REF!</definedName>
    <definedName name="_2677_________________________________________________________\MID">'[2]#REF'!#REF!</definedName>
    <definedName name="_2678_________________________________________________________\SM">'[2]#REF'!#REF!</definedName>
    <definedName name="_2679_____________________________________________________________S" hidden="1">[3]Sheet3!#REF!</definedName>
    <definedName name="_2679________________________________________________________0_F" hidden="1">#REF!</definedName>
    <definedName name="_268_____________________________________________________________________________________________________________________________________________________________________3__Crite">#REF!</definedName>
    <definedName name="_268_______________________________________________________________________________________________________________________________________________________________0_0__123Grap" hidden="1">[1]공문!#REF!</definedName>
    <definedName name="_2680________________________________________________________0_S" hidden="1">#REF!</definedName>
    <definedName name="_2681_____________________________________________________________S" hidden="1">#REF!</definedName>
    <definedName name="_2681________________________________________________________0_S" hidden="1">#REF!</definedName>
    <definedName name="_2682________________________________________________________0\SM">'[4]#REF'!#REF!</definedName>
    <definedName name="_2683____________________________________________________________\LA">'[2]#REF'!#REF!</definedName>
    <definedName name="_2683______________________________________________________0_0__123Grap" hidden="1">[1]공문!#REF!</definedName>
    <definedName name="_2684______________________________________________________0_0_F" hidden="1">[3]Sheet3!#REF!</definedName>
    <definedName name="_2685____________________________________________________________\MID">'[2]#REF'!#REF!</definedName>
    <definedName name="_2685______________________________________________________0_0_S" hidden="1">[3]Sheet3!#REF!</definedName>
    <definedName name="_2687____________________________________________________________\SM">'[2]#REF'!#REF!</definedName>
    <definedName name="_2687______________________________________________________3__Crite">#REF!</definedName>
    <definedName name="_2688______________________________________________________3__Criteria">#REF!</definedName>
    <definedName name="_2689___________________________________________________________0_F" hidden="1">#REF!</definedName>
    <definedName name="_269_______________________________________________________________________________________________________________________________________________________________0_0_F" hidden="1">[3]Sheet3!#REF!</definedName>
    <definedName name="_2691___________________________________________________________0_S" hidden="1">#REF!</definedName>
    <definedName name="_2691______________________________________________________G_0Extract">#REF!</definedName>
    <definedName name="_2692______________________________________________________G__Extr">#REF!</definedName>
    <definedName name="_2693___________________________________________________________0_S" hidden="1">#REF!</definedName>
    <definedName name="_2693______________________________________________________G__Extract">#REF!</definedName>
    <definedName name="_2694_________________________________________________________ME">'[2]#REF'!#REF!</definedName>
    <definedName name="_2695___________________________________________________________0\SM">'[4]#REF'!#REF!</definedName>
    <definedName name="_2695_________________________________________________________ME">'[2]#REF'!#REF!</definedName>
    <definedName name="_2697_________________________________________________________0_0__123Grap" hidden="1">[1]공문!#REF!</definedName>
    <definedName name="_2699_________________________________________________________0_0_F" hidden="1">[3]Sheet3!#REF!</definedName>
    <definedName name="_27_____________________________________________________________________________________________________________________________________________________________________________ME">'[2]#REF'!#REF!</definedName>
    <definedName name="_270_____________________________________________________________________________________________________________________________________________________________________3__Criteria">#REF!</definedName>
    <definedName name="_270_______________________________________________________________________________________________________________________________________________________________0_0_S" hidden="1">[3]Sheet3!#REF!</definedName>
    <definedName name="_2701_________________________________________________________0_0_S" hidden="1">[3]Sheet3!#REF!</definedName>
    <definedName name="_2703_________________________________________________________3__Crite">#REF!</definedName>
    <definedName name="_2705_________________________________________________________3__Criteria">#REF!</definedName>
    <definedName name="_2709_________________________________________________________G_0Extract">#REF!</definedName>
    <definedName name="_271__________________________________________________________________________________________________________________________________________________________________123Grap" hidden="1">[1]공문!#REF!</definedName>
    <definedName name="_2710_______________________________________________________________________________________________________123Grap" hidden="1">[1]공문!#REF!</definedName>
    <definedName name="_2711_________________________________________________________G__Extr">#REF!</definedName>
    <definedName name="_2713_________________________________________________________G__Extract">#REF!</definedName>
    <definedName name="_2715____________________________________________________________ME">'[2]#REF'!#REF!</definedName>
    <definedName name="_2717____________________________________________________________ME">'[2]#REF'!#REF!</definedName>
    <definedName name="_272________________________________________________________________________________________________________________________________________________________________________F" hidden="1">#REF!</definedName>
    <definedName name="_272_______________________________________________________________________________________________________________________________________________________________3__Crite">#REF!</definedName>
    <definedName name="_273_______________________________________________________________________________________________________________________________________________________________3__Criteria">#REF!</definedName>
    <definedName name="_2732___________________________________________________________123Grap" hidden="1">[1]공문!#REF!</definedName>
    <definedName name="_2738______________________________________________________________________________________________________F" hidden="1">#REF!</definedName>
    <definedName name="_274________________________________________________________________________________________________________________________________________________________________________F" hidden="1">[3]Sheet3!#REF!</definedName>
    <definedName name="_274__________________________________________________________________________________________________________________________________________________________________F" hidden="1">#REF!</definedName>
    <definedName name="_2740______________________________________________________________________________________________________F" hidden="1">[3]Sheet3!#REF!</definedName>
    <definedName name="_2742__________________________________________________________F" hidden="1">#REF!</definedName>
    <definedName name="_2744__________________________________________________________F" hidden="1">[3]Sheet3!#REF!</definedName>
    <definedName name="_2746__________________________________________________________S" hidden="1">#REF!</definedName>
    <definedName name="_2747______________________________________________________________________________________________________S" hidden="1">#REF!</definedName>
    <definedName name="_2748__________________________________________________________S" hidden="1">[3]Sheet3!#REF!</definedName>
    <definedName name="_2749______________________________________________________________________________________________________S" hidden="1">[3]Sheet3!#REF!</definedName>
    <definedName name="_275__________________________________________________________________________________________________________________________________________________________________F" hidden="1">[3]Sheet3!#REF!</definedName>
    <definedName name="_2750__________________________________________________________S" hidden="1">#REF!</definedName>
    <definedName name="_2751______________________________________________________________________________________________________S" hidden="1">#REF!</definedName>
    <definedName name="_2752_________________________________________________________\LA">'[2]#REF'!#REF!</definedName>
    <definedName name="_2753_____________________________________________________________________________________________________\LA">'[2]#REF'!#REF!</definedName>
    <definedName name="_2754_________________________________________________________\MID">'[2]#REF'!#REF!</definedName>
    <definedName name="_2755_____________________________________________________________________________________________________\MID">'[2]#REF'!#REF!</definedName>
    <definedName name="_2756_________________________________________________________\SM">'[2]#REF'!#REF!</definedName>
    <definedName name="_2757_____________________________________________________________________________________________________\SM">'[2]#REF'!#REF!</definedName>
    <definedName name="_2758________________________________________________________0_F" hidden="1">#REF!</definedName>
    <definedName name="_2759____________________________________________________________________________________________________0_F" hidden="1">#REF!</definedName>
    <definedName name="_276_____________________________________________________________________________________________________________________________________________________________________G_0Extract">#REF!</definedName>
    <definedName name="_276_______________________________________________________________________________________________________________________________________________________________G_0Extract">#REF!</definedName>
    <definedName name="_2760________________________________________________________0_S" hidden="1">#REF!</definedName>
    <definedName name="_2761____________________________________________________________________________________________________0_S" hidden="1">#REF!</definedName>
    <definedName name="_2762________________________________________________________0_S" hidden="1">#REF!</definedName>
    <definedName name="_2763____________________________________________________________________________________________________0_S" hidden="1">#REF!</definedName>
    <definedName name="_2764________________________________________________________0\SM">'[4]#REF'!#REF!</definedName>
    <definedName name="_2765____________________________________________________________________________________________________0\SM">'[4]#REF'!#REF!</definedName>
    <definedName name="_2766______________________________________________________0_0__123Grap" hidden="1">[1]공문!#REF!</definedName>
    <definedName name="_2767__________________________________________________________________________________________________0_0__123Grap" hidden="1">[1]공문!#REF!</definedName>
    <definedName name="_2768______________________________________________________0_0_F" hidden="1">[3]Sheet3!#REF!</definedName>
    <definedName name="_2769__________________________________________________________________________________________________0_0_F" hidden="1">[3]Sheet3!#REF!</definedName>
    <definedName name="_277_______________________________________________________________________________________________________________________________________________________________G__Extr">#REF!</definedName>
    <definedName name="_2770______________________________________________________0_0_S" hidden="1">[3]Sheet3!#REF!</definedName>
    <definedName name="_2771__________________________________________________________________________________________________0_0_S" hidden="1">[3]Sheet3!#REF!</definedName>
    <definedName name="_2772______________________________________________________3__Crite">#REF!</definedName>
    <definedName name="_2774__________________________________________________________________________________________________3__Crite">#REF!</definedName>
    <definedName name="_2774______________________________________________________3__Criteria">#REF!</definedName>
    <definedName name="_2776__________________________________________________________________________________________________3__Criteria">#REF!</definedName>
    <definedName name="_2778______________________________________________________G_0Extract">#REF!</definedName>
    <definedName name="_278_____________________________________________________________________________________________________________________________________________________________________G__Extr">#REF!</definedName>
    <definedName name="_278_______________________________________________________________________________________________________________________________________________________________G__Extract">#REF!</definedName>
    <definedName name="_2780______________________________________________________G__Extr">#REF!</definedName>
    <definedName name="_2782__________________________________________________________________________________________________G_0Extract">#REF!</definedName>
    <definedName name="_2782______________________________________________________G__Extract">#REF!</definedName>
    <definedName name="_2784__________________________________________________________________________________________________G__Extr">#REF!</definedName>
    <definedName name="_2784_________________________________________________________ME">'[2]#REF'!#REF!</definedName>
    <definedName name="_2786__________________________________________________________________________________________________G__Extract">#REF!</definedName>
    <definedName name="_2786_________________________________________________________ME">'[2]#REF'!#REF!</definedName>
    <definedName name="_2788_____________________________________________________________________________________________________ME">'[2]#REF'!#REF!</definedName>
    <definedName name="_279__________________________________________________________________________________________________________________________________________________________________ME">'[2]#REF'!#REF!</definedName>
    <definedName name="_2790_____________________________________________________________________________________________________ME">'[2]#REF'!#REF!</definedName>
    <definedName name="_28_____________________________________________________________________________________________________________________________________________________________________________S" hidden="1">#REF!</definedName>
    <definedName name="_28____________________________________________________________________________________________________________________________________________________________________________0\SM">'[4]#REF'!#REF!</definedName>
    <definedName name="_280_____________________________________________________________________________________________________________________________________________________________________G__Extract">#REF!</definedName>
    <definedName name="_280__________________________________________________________________________________________________________________________________________________________________ME">'[2]#REF'!#REF!</definedName>
    <definedName name="_281__________________________________________________________________________________________________________________________________________________________________S" hidden="1">#REF!</definedName>
    <definedName name="_2818____________________________________________________________________________________________________123Grap" hidden="1">[1]공문!#REF!</definedName>
    <definedName name="_282________________________________________________________________________________________________________________________________________________________________________ME">'[2]#REF'!#REF!</definedName>
    <definedName name="_282__________________________________________________________________________________________________________________________________________________________________S" hidden="1">[3]Sheet3!#REF!</definedName>
    <definedName name="_283__________________________________________________________________________________________________________________________________________________________________S" hidden="1">#REF!</definedName>
    <definedName name="_284________________________________________________________________________________________________________________________________________________________________________ME">'[2]#REF'!#REF!</definedName>
    <definedName name="_284_________________________________________________________________________________________________________________________________________________________________\LA">'[2]#REF'!#REF!</definedName>
    <definedName name="_285_________________________________________________________________________________________________________________________________________________________________\MID">'[2]#REF'!#REF!</definedName>
    <definedName name="_2853___________________________________________________________________________________________________F" hidden="1">#REF!</definedName>
    <definedName name="_2855___________________________________________________________________________________________________F" hidden="1">[3]Sheet3!#REF!</definedName>
    <definedName name="_286________________________________________________________________________________________________________________________________________________________________________S" hidden="1">#REF!</definedName>
    <definedName name="_286_________________________________________________________________________________________________________________________________________________________________\SM">'[2]#REF'!#REF!</definedName>
    <definedName name="_2862___________________________________________________________________________________________________S" hidden="1">#REF!</definedName>
    <definedName name="_2864___________________________________________________________________________________________________S" hidden="1">[3]Sheet3!#REF!</definedName>
    <definedName name="_2866___________________________________________________________________________________________________S" hidden="1">#REF!</definedName>
    <definedName name="_2868__________________________________________________________________________________________________\LA">'[2]#REF'!#REF!</definedName>
    <definedName name="_287________________________________________________________________________________________________________________________________________________________________0_F" hidden="1">#REF!</definedName>
    <definedName name="_2870__________________________________________________________________________________________________\MID">'[2]#REF'!#REF!</definedName>
    <definedName name="_2872__________________________________________________________________________________________________\SM">'[2]#REF'!#REF!</definedName>
    <definedName name="_2874_________________________________________________________________________________________________0_F" hidden="1">#REF!</definedName>
    <definedName name="_2876_________________________________________________________________________________________________0_S" hidden="1">#REF!</definedName>
    <definedName name="_2878_________________________________________________________________________________________________0_S" hidden="1">#REF!</definedName>
    <definedName name="_288________________________________________________________________________________________________________________________________________________________________________S" hidden="1">[3]Sheet3!#REF!</definedName>
    <definedName name="_288________________________________________________________________________________________________________________________________________________________________0_S" hidden="1">#REF!</definedName>
    <definedName name="_2880_________________________________________________________________________________________________0\SM">'[4]#REF'!#REF!</definedName>
    <definedName name="_2882_______________________________________________________________________________________________0_0__123Grap" hidden="1">[1]공문!#REF!</definedName>
    <definedName name="_2884_______________________________________________________________________________________________0_0_F" hidden="1">[3]Sheet3!#REF!</definedName>
    <definedName name="_2886_______________________________________________________________________________________________0_0_S" hidden="1">[3]Sheet3!#REF!</definedName>
    <definedName name="_2889_______________________________________________________________________________________________3__Crite">#REF!</definedName>
    <definedName name="_289________________________________________________________________________________________________________________________________________________________________0_S" hidden="1">#REF!</definedName>
    <definedName name="_2891_______________________________________________________________________________________________3__Criteria">#REF!</definedName>
    <definedName name="_2897_______________________________________________________________________________________________G_0Extract">#REF!</definedName>
    <definedName name="_2899_______________________________________________________________________________________________G__Extr">#REF!</definedName>
    <definedName name="_29_____________________________________________________________________________________________________________________________________________________________________________S" hidden="1">[3]Sheet3!#REF!</definedName>
    <definedName name="_290________________________________________________________________________________________________________________________________________________________________________S" hidden="1">#REF!</definedName>
    <definedName name="_290________________________________________________________________________________________________________________________________________________________________0\SM">'[4]#REF'!#REF!</definedName>
    <definedName name="_2901_______________________________________________________________________________________________G__Extract">#REF!</definedName>
    <definedName name="_2903__________________________________________________________________________________________________ME">'[2]#REF'!#REF!</definedName>
    <definedName name="_2905__________________________________________________________________________________________________ME">'[2]#REF'!#REF!</definedName>
    <definedName name="_291______________________________________________________________________________________________________________________________________________________________0_0__123Grap" hidden="1">[1]공문!#REF!</definedName>
    <definedName name="_292_______________________________________________________________________________________________________________________________________________________________________\LA">'[2]#REF'!#REF!</definedName>
    <definedName name="_292______________________________________________________________________________________________________________________________________________________________0_0_F" hidden="1">[3]Sheet3!#REF!</definedName>
    <definedName name="_293______________________________________________________________________________________________________________________________________________________________0_0_S" hidden="1">[3]Sheet3!#REF!</definedName>
    <definedName name="_294_______________________________________________________________________________________________________________________________________________________________________\MID">'[2]#REF'!#REF!</definedName>
    <definedName name="_294_________________________________________________________________________________________________________________________________________________________________123Grap" hidden="1">[1]공문!#REF!</definedName>
    <definedName name="_295______________________________________________________________________________________________________________________________________________________________3__Crite">#REF!</definedName>
    <definedName name="_296_______________________________________________________________________________________________________________________________________________________________________\SM">'[2]#REF'!#REF!</definedName>
    <definedName name="_296______________________________________________________________________________________________________________________________________________________________3__Criteria">#REF!</definedName>
    <definedName name="_2963________________________________________________________________________________________________123Grap" hidden="1">[1]공문!#REF!</definedName>
    <definedName name="_297_________________________________________________________________________________________________________________________________________________________________F" hidden="1">#REF!</definedName>
    <definedName name="_298______________________________________________________________________________________________________________________________________________________________________0_F" hidden="1">#REF!</definedName>
    <definedName name="_298_________________________________________________________________________________________________________________________________________________________________F" hidden="1">[3]Sheet3!#REF!</definedName>
    <definedName name="_299______________________________________________________________________________________________________________________________________________________________G_0Extract">#REF!</definedName>
    <definedName name="_2991_______________________________________________________________________________________________F" hidden="1">#REF!</definedName>
    <definedName name="_2993_______________________________________________________________________________________________F" hidden="1">[3]Sheet3!#REF!</definedName>
    <definedName name="_3______________________________________________________________________________________________________________________________________________________________________________F" hidden="1">#REF!</definedName>
    <definedName name="_30_____________________________________________________________________________________________________________________________________________________________________________S" hidden="1">#REF!</definedName>
    <definedName name="_30__________________________________________________________________________________________________________________________________________________________________________0_0__123Grap" hidden="1">[1]공문!#REF!</definedName>
    <definedName name="_300______________________________________________________________________________________________________________________________________________________________________0_S" hidden="1">#REF!</definedName>
    <definedName name="_300______________________________________________________________________________________________________________________________________________________________G__Extr">#REF!</definedName>
    <definedName name="_3000_______________________________________________________________________________________________S" hidden="1">#REF!</definedName>
    <definedName name="_3002_______________________________________________________________________________________________S" hidden="1">[3]Sheet3!#REF!</definedName>
    <definedName name="_3004_______________________________________________________________________________________________S" hidden="1">#REF!</definedName>
    <definedName name="_3006______________________________________________________________________________________________\LA">'[2]#REF'!#REF!</definedName>
    <definedName name="_3008______________________________________________________________________________________________\MID">'[2]#REF'!#REF!</definedName>
    <definedName name="_301______________________________________________________________________________________________________________________________________________________________G__Extract">#REF!</definedName>
    <definedName name="_3010______________________________________________________________________________________________\SM">'[2]#REF'!#REF!</definedName>
    <definedName name="_3012_____________________________________________________________________________________________0_F" hidden="1">#REF!</definedName>
    <definedName name="_3014_____________________________________________________________________________________________0_S" hidden="1">#REF!</definedName>
    <definedName name="_3016_____________________________________________________________________________________________0_S" hidden="1">#REF!</definedName>
    <definedName name="_3018_____________________________________________________________________________________________0\SM">'[4]#REF'!#REF!</definedName>
    <definedName name="_302______________________________________________________________________________________________________________________________________________________________________0_S" hidden="1">#REF!</definedName>
    <definedName name="_302_________________________________________________________________________________________________________________________________________________________________ME">'[2]#REF'!#REF!</definedName>
    <definedName name="_3020___________________________________________________________________________________________0_0__123Grap" hidden="1">[1]공문!#REF!</definedName>
    <definedName name="_3022___________________________________________________________________________________________0_0_F" hidden="1">[3]Sheet3!#REF!</definedName>
    <definedName name="_3024___________________________________________________________________________________________0_0_S" hidden="1">[3]Sheet3!#REF!</definedName>
    <definedName name="_3027___________________________________________________________________________________________3__Crite">#REF!</definedName>
    <definedName name="_3029___________________________________________________________________________________________3__Criteria">#REF!</definedName>
    <definedName name="_303_________________________________________________________________________________________________________________________________________________________________ME">'[2]#REF'!#REF!</definedName>
    <definedName name="_3035___________________________________________________________________________________________G_0Extract">#REF!</definedName>
    <definedName name="_3037___________________________________________________________________________________________G__Extr">#REF!</definedName>
    <definedName name="_3039___________________________________________________________________________________________G__Extract">#REF!</definedName>
    <definedName name="_304______________________________________________________________________________________________________________________________________________________________________0\SM">'[4]#REF'!#REF!</definedName>
    <definedName name="_304_________________________________________________________________________________________________________________________________________________________________S" hidden="1">#REF!</definedName>
    <definedName name="_3041______________________________________________________________________________________________ME">'[2]#REF'!#REF!</definedName>
    <definedName name="_3043______________________________________________________________________________________________ME">'[2]#REF'!#REF!</definedName>
    <definedName name="_305_________________________________________________________________________________________________________________________________________________________________S" hidden="1">[3]Sheet3!#REF!</definedName>
    <definedName name="_306____________________________________________________________________________________________________________________________________________________________________0_0__123Grap" hidden="1">[1]공문!#REF!</definedName>
    <definedName name="_306_________________________________________________________________________________________________________________________________________________________________S" hidden="1">#REF!</definedName>
    <definedName name="_307________________________________________________________________________________________________________________________________________________________________\LA">'[2]#REF'!#REF!</definedName>
    <definedName name="_308____________________________________________________________________________________________________________________________________________________________________0_0_F" hidden="1">[3]Sheet3!#REF!</definedName>
    <definedName name="_308________________________________________________________________________________________________________________________________________________________________\MID">'[2]#REF'!#REF!</definedName>
    <definedName name="_309________________________________________________________________________________________________________________________________________________________________\SM">'[2]#REF'!#REF!</definedName>
    <definedName name="_31____________________________________________________________________________________________________________________________________________________________________________\LA">'[2]#REF'!#REF!</definedName>
    <definedName name="_310____________________________________________________________________________________________________________________________________________________________________0_0_S" hidden="1">[3]Sheet3!#REF!</definedName>
    <definedName name="_310_______________________________________________________________________________________________________________________________________________________________0_F" hidden="1">#REF!</definedName>
    <definedName name="_3101____________________________________________________________________________________________123Grap" hidden="1">[1]공문!#REF!</definedName>
    <definedName name="_311_______________________________________________________________________________________________________________________________________________________________0_S" hidden="1">#REF!</definedName>
    <definedName name="_312_______________________________________________________________________________________________________________________________________________________________________123Grap" hidden="1">[1]공문!#REF!</definedName>
    <definedName name="_312_______________________________________________________________________________________________________________________________________________________________0_S" hidden="1">#REF!</definedName>
    <definedName name="_3129___________________________________________________________________________________________F" hidden="1">#REF!</definedName>
    <definedName name="_313_______________________________________________________________________________________________________________________________________________________________0\SM">'[4]#REF'!#REF!</definedName>
    <definedName name="_3131___________________________________________________________________________________________F" hidden="1">[3]Sheet3!#REF!</definedName>
    <definedName name="_3138___________________________________________________________________________________________S" hidden="1">#REF!</definedName>
    <definedName name="_314____________________________________________________________________________________________________________________________________________________________________3__Crite">#REF!</definedName>
    <definedName name="_314_____________________________________________________________________________________________________________________________________________________________0_0__123Grap" hidden="1">[1]공문!#REF!</definedName>
    <definedName name="_3140___________________________________________________________________________________________S" hidden="1">[3]Sheet3!#REF!</definedName>
    <definedName name="_3142___________________________________________________________________________________________S" hidden="1">#REF!</definedName>
    <definedName name="_3144__________________________________________________________________________________________\LA">'[2]#REF'!#REF!</definedName>
    <definedName name="_3146__________________________________________________________________________________________\MID">'[2]#REF'!#REF!</definedName>
    <definedName name="_3148__________________________________________________________________________________________\SM">'[2]#REF'!#REF!</definedName>
    <definedName name="_315_____________________________________________________________________________________________________________________________________________________________0_0_F" hidden="1">[3]Sheet3!#REF!</definedName>
    <definedName name="_3150_________________________________________________________________________________________0_F" hidden="1">#REF!</definedName>
    <definedName name="_3152_________________________________________________________________________________________0_S" hidden="1">#REF!</definedName>
    <definedName name="_3154_________________________________________________________________________________________0_S" hidden="1">#REF!</definedName>
    <definedName name="_3156_________________________________________________________________________________________0\SM">'[4]#REF'!#REF!</definedName>
    <definedName name="_3158_______________________________________________________________________________________0_0__123Grap" hidden="1">[1]공문!#REF!</definedName>
    <definedName name="_316____________________________________________________________________________________________________________________________________________________________________3__Criteria">#REF!</definedName>
    <definedName name="_316_____________________________________________________________________________________________________________________________________________________________0_0_S" hidden="1">[3]Sheet3!#REF!</definedName>
    <definedName name="_3160_______________________________________________________________________________________0_0_F" hidden="1">[3]Sheet3!#REF!</definedName>
    <definedName name="_3162_______________________________________________________________________________________0_0_S" hidden="1">[3]Sheet3!#REF!</definedName>
    <definedName name="_3165_______________________________________________________________________________________3__Crite">#REF!</definedName>
    <definedName name="_3167_______________________________________________________________________________________3__Criteria">#REF!</definedName>
    <definedName name="_317________________________________________________________________________________________________________________________________________________________________123Grap" hidden="1">[1]공문!#REF!</definedName>
    <definedName name="_3173_______________________________________________________________________________________G_0Extract">#REF!</definedName>
    <definedName name="_3175_______________________________________________________________________________________G__Extr">#REF!</definedName>
    <definedName name="_3177_______________________________________________________________________________________G__Extract">#REF!</definedName>
    <definedName name="_3179__________________________________________________________________________________________ME">'[2]#REF'!#REF!</definedName>
    <definedName name="_318_______________________________________________________________________________________________________________________________________________________________________F" hidden="1">#REF!</definedName>
    <definedName name="_318_____________________________________________________________________________________________________________________________________________________________3__Crite">#REF!</definedName>
    <definedName name="_3181__________________________________________________________________________________________ME">'[2]#REF'!#REF!</definedName>
    <definedName name="_319_____________________________________________________________________________________________________________________________________________________________3__Criteria">#REF!</definedName>
    <definedName name="_32____________________________________________________________________________________________________________________________________________________________________________\MID">'[2]#REF'!#REF!</definedName>
    <definedName name="_32__________________________________________________________________________________________________________________________________________________________________________0_0_F" hidden="1">[3]Sheet3!#REF!</definedName>
    <definedName name="_320_______________________________________________________________________________________________________________________________________________________________________F" hidden="1">[3]Sheet3!#REF!</definedName>
    <definedName name="_320________________________________________________________________________________________________________________________________________________________________F" hidden="1">#REF!</definedName>
    <definedName name="_321________________________________________________________________________________________________________________________________________________________________F" hidden="1">[3]Sheet3!#REF!</definedName>
    <definedName name="_322____________________________________________________________________________________________________________________________________________________________________G_0Extract">#REF!</definedName>
    <definedName name="_322_____________________________________________________________________________________________________________________________________________________________G_0Extract">#REF!</definedName>
    <definedName name="_323_____________________________________________________________________________________________________________________________________________________________G__Extr">#REF!</definedName>
    <definedName name="_3239________________________________________________________________________________________123Grap" hidden="1">[1]공문!#REF!</definedName>
    <definedName name="_324____________________________________________________________________________________________________________________________________________________________________G__Extr">#REF!</definedName>
    <definedName name="_324_____________________________________________________________________________________________________________________________________________________________G__Extract">#REF!</definedName>
    <definedName name="_325________________________________________________________________________________________________________________________________________________________________ME">'[2]#REF'!#REF!</definedName>
    <definedName name="_326____________________________________________________________________________________________________________________________________________________________________G__Extract">#REF!</definedName>
    <definedName name="_326________________________________________________________________________________________________________________________________________________________________ME">'[2]#REF'!#REF!</definedName>
    <definedName name="_3267_______________________________________________________________________________________F" hidden="1">#REF!</definedName>
    <definedName name="_3269_______________________________________________________________________________________F" hidden="1">[3]Sheet3!#REF!</definedName>
    <definedName name="_327________________________________________________________________________________________________________________________________________________________________S" hidden="1">#REF!</definedName>
    <definedName name="_3276_______________________________________________________________________________________S" hidden="1">#REF!</definedName>
    <definedName name="_3278_______________________________________________________________________________________S" hidden="1">[3]Sheet3!#REF!</definedName>
    <definedName name="_328_______________________________________________________________________________________________________________________________________________________________________ME">'[2]#REF'!#REF!</definedName>
    <definedName name="_328________________________________________________________________________________________________________________________________________________________________S" hidden="1">[3]Sheet3!#REF!</definedName>
    <definedName name="_3280_______________________________________________________________________________________S" hidden="1">#REF!</definedName>
    <definedName name="_3282______________________________________________________________________________________\LA">'[2]#REF'!#REF!</definedName>
    <definedName name="_3284______________________________________________________________________________________\MID">'[2]#REF'!#REF!</definedName>
    <definedName name="_3286______________________________________________________________________________________\SM">'[2]#REF'!#REF!</definedName>
    <definedName name="_3288_____________________________________________________________________________________0_F" hidden="1">#REF!</definedName>
    <definedName name="_329________________________________________________________________________________________________________________________________________________________________S" hidden="1">#REF!</definedName>
    <definedName name="_3290_____________________________________________________________________________________0_S" hidden="1">#REF!</definedName>
    <definedName name="_3292_____________________________________________________________________________________0_S" hidden="1">#REF!</definedName>
    <definedName name="_3294_____________________________________________________________________________________0\SM">'[4]#REF'!#REF!</definedName>
    <definedName name="_3296___________________________________________________________________________________0_0__123Grap" hidden="1">[1]공문!#REF!</definedName>
    <definedName name="_3298___________________________________________________________________________________0_0_F" hidden="1">[3]Sheet3!#REF!</definedName>
    <definedName name="_33____________________________________________________________________________________________________________________________________________________________________________\SM">'[2]#REF'!#REF!</definedName>
    <definedName name="_330_______________________________________________________________________________________________________________________________________________________________________ME">'[2]#REF'!#REF!</definedName>
    <definedName name="_330_______________________________________________________________________________________________________________________________________________________________\LA">'[2]#REF'!#REF!</definedName>
    <definedName name="_3300___________________________________________________________________________________0_0_S" hidden="1">[3]Sheet3!#REF!</definedName>
    <definedName name="_3303___________________________________________________________________________________3__Crite">#REF!</definedName>
    <definedName name="_3305___________________________________________________________________________________3__Criteria">#REF!</definedName>
    <definedName name="_331_______________________________________________________________________________________________________________________________________________________________\MID">'[2]#REF'!#REF!</definedName>
    <definedName name="_3311___________________________________________________________________________________G_0Extract">#REF!</definedName>
    <definedName name="_3313___________________________________________________________________________________G__Extr">#REF!</definedName>
    <definedName name="_3315___________________________________________________________________________________G__Extract">#REF!</definedName>
    <definedName name="_3317______________________________________________________________________________________ME">'[2]#REF'!#REF!</definedName>
    <definedName name="_3319______________________________________________________________________________________ME">'[2]#REF'!#REF!</definedName>
    <definedName name="_332_______________________________________________________________________________________________________________________________________________________________________S" hidden="1">#REF!</definedName>
    <definedName name="_332_______________________________________________________________________________________________________________________________________________________________\SM">'[2]#REF'!#REF!</definedName>
    <definedName name="_333______________________________________________________________________________________________________________________________________________________________0_F" hidden="1">#REF!</definedName>
    <definedName name="_334_______________________________________________________________________________________________________________________________________________________________________S" hidden="1">[3]Sheet3!#REF!</definedName>
    <definedName name="_334______________________________________________________________________________________________________________________________________________________________0_S" hidden="1">#REF!</definedName>
    <definedName name="_335______________________________________________________________________________________________________________________________________________________________0_S" hidden="1">#REF!</definedName>
    <definedName name="_336_______________________________________________________________________________________________________________________________________________________________________S" hidden="1">#REF!</definedName>
    <definedName name="_336______________________________________________________________________________________________________________________________________________________________0\SM">'[4]#REF'!#REF!</definedName>
    <definedName name="_337____________________________________________________________________________________________________________________________________________________________0_0__123Grap" hidden="1">[1]공문!#REF!</definedName>
    <definedName name="_3377____________________________________________________________________________________123Grap" hidden="1">[1]공문!#REF!</definedName>
    <definedName name="_338______________________________________________________________________________________________________________________________________________________________________\LA">'[2]#REF'!#REF!</definedName>
    <definedName name="_338____________________________________________________________________________________________________________________________________________________________0_0_F" hidden="1">[3]Sheet3!#REF!</definedName>
    <definedName name="_339____________________________________________________________________________________________________________________________________________________________0_0_S" hidden="1">[3]Sheet3!#REF!</definedName>
    <definedName name="_34___________________________________________________________________________________________________________________________________________________________________________0_F" hidden="1">#REF!</definedName>
    <definedName name="_34__________________________________________________________________________________________________________________________________________________________________________0_0_S" hidden="1">[3]Sheet3!#REF!</definedName>
    <definedName name="_340______________________________________________________________________________________________________________________________________________________________________\MID">'[2]#REF'!#REF!</definedName>
    <definedName name="_340_______________________________________________________________________________________________________________________________________________________________123Grap" hidden="1">[1]공문!#REF!</definedName>
    <definedName name="_3405___________________________________________________________________________________F" hidden="1">#REF!</definedName>
    <definedName name="_3407___________________________________________________________________________________F" hidden="1">[3]Sheet3!#REF!</definedName>
    <definedName name="_341____________________________________________________________________________________________________________________________________________________________3__Crite">#REF!</definedName>
    <definedName name="_3414___________________________________________________________________________________S" hidden="1">#REF!</definedName>
    <definedName name="_3416___________________________________________________________________________________S" hidden="1">[3]Sheet3!#REF!</definedName>
    <definedName name="_3418___________________________________________________________________________________S" hidden="1">#REF!</definedName>
    <definedName name="_342______________________________________________________________________________________________________________________________________________________________________\SM">'[2]#REF'!#REF!</definedName>
    <definedName name="_342____________________________________________________________________________________________________________________________________________________________3__Criteria">#REF!</definedName>
    <definedName name="_3420__________________________________________________________________________________\LA">'[2]#REF'!#REF!</definedName>
    <definedName name="_3422__________________________________________________________________________________\MID">'[2]#REF'!#REF!</definedName>
    <definedName name="_3424__________________________________________________________________________________\SM">'[2]#REF'!#REF!</definedName>
    <definedName name="_3426_________________________________________________________________________________0_F" hidden="1">#REF!</definedName>
    <definedName name="_3428_________________________________________________________________________________0_S" hidden="1">#REF!</definedName>
    <definedName name="_343_______________________________________________________________________________________________________________________________________________________________F" hidden="1">#REF!</definedName>
    <definedName name="_3430_________________________________________________________________________________0_S" hidden="1">#REF!</definedName>
    <definedName name="_3432_________________________________________________________________________________0\SM">'[4]#REF'!#REF!</definedName>
    <definedName name="_3434_______________________________________________________________________________0_0__123Grap" hidden="1">[1]공문!#REF!</definedName>
    <definedName name="_3436_______________________________________________________________________________0_0_F" hidden="1">[3]Sheet3!#REF!</definedName>
    <definedName name="_3438_______________________________________________________________________________0_0_S" hidden="1">[3]Sheet3!#REF!</definedName>
    <definedName name="_344_____________________________________________________________________________________________________________________________________________________________________0_F" hidden="1">#REF!</definedName>
    <definedName name="_344_______________________________________________________________________________________________________________________________________________________________F" hidden="1">[3]Sheet3!#REF!</definedName>
    <definedName name="_3441_______________________________________________________________________________3__Crite">#REF!</definedName>
    <definedName name="_3443_______________________________________________________________________________3__Criteria">#REF!</definedName>
    <definedName name="_3449_______________________________________________________________________________G_0Extract">#REF!</definedName>
    <definedName name="_345____________________________________________________________________________________________________________________________________________________________G_0Extract">#REF!</definedName>
    <definedName name="_3451_______________________________________________________________________________G__Extr">#REF!</definedName>
    <definedName name="_3453_______________________________________________________________________________G__Extract">#REF!</definedName>
    <definedName name="_3455__________________________________________________________________________________ME">'[2]#REF'!#REF!</definedName>
    <definedName name="_3457__________________________________________________________________________________ME">'[2]#REF'!#REF!</definedName>
    <definedName name="_346_____________________________________________________________________________________________________________________________________________________________________0_S" hidden="1">#REF!</definedName>
    <definedName name="_346____________________________________________________________________________________________________________________________________________________________G__Extr">#REF!</definedName>
    <definedName name="_347____________________________________________________________________________________________________________________________________________________________G__Extract">#REF!</definedName>
    <definedName name="_348_____________________________________________________________________________________________________________________________________________________________________0_S" hidden="1">#REF!</definedName>
    <definedName name="_348_______________________________________________________________________________________________________________________________________________________________ME">'[2]#REF'!#REF!</definedName>
    <definedName name="_349_______________________________________________________________________________________________________________________________________________________________ME">'[2]#REF'!#REF!</definedName>
    <definedName name="_35___________________________________________________________________________________________________________________________________________________________________________0_S" hidden="1">#REF!</definedName>
    <definedName name="_350_____________________________________________________________________________________________________________________________________________________________________0\SM">'[4]#REF'!#REF!</definedName>
    <definedName name="_350_______________________________________________________________________________________________________________________________________________________________S" hidden="1">#REF!</definedName>
    <definedName name="_351_______________________________________________________________________________________________________________________________________________________________S" hidden="1">[3]Sheet3!#REF!</definedName>
    <definedName name="_3515________________________________________________________________________________123Grap" hidden="1">[1]공문!#REF!</definedName>
    <definedName name="_352___________________________________________________________________________________________________________________________________________________________________0_0__123Grap" hidden="1">[1]공문!#REF!</definedName>
    <definedName name="_352_______________________________________________________________________________________________________________________________________________________________S" hidden="1">#REF!</definedName>
    <definedName name="_353______________________________________________________________________________________________________________________________________________________________\LA">'[2]#REF'!#REF!</definedName>
    <definedName name="_354___________________________________________________________________________________________________________________________________________________________________0_0_F" hidden="1">[3]Sheet3!#REF!</definedName>
    <definedName name="_354______________________________________________________________________________________________________________________________________________________________\MID">'[2]#REF'!#REF!</definedName>
    <definedName name="_3543_______________________________________________________________________________F" hidden="1">#REF!</definedName>
    <definedName name="_3545_______________________________________________________________________________F" hidden="1">[3]Sheet3!#REF!</definedName>
    <definedName name="_355______________________________________________________________________________________________________________________________________________________________\SM">'[2]#REF'!#REF!</definedName>
    <definedName name="_3552_______________________________________________________________________________S" hidden="1">#REF!</definedName>
    <definedName name="_3554_______________________________________________________________________________S" hidden="1">[3]Sheet3!#REF!</definedName>
    <definedName name="_3556_______________________________________________________________________________S" hidden="1">#REF!</definedName>
    <definedName name="_3558______________________________________________________________________________\LA">'[2]#REF'!#REF!</definedName>
    <definedName name="_356___________________________________________________________________________________________________________________________________________________________________0_0_S" hidden="1">[3]Sheet3!#REF!</definedName>
    <definedName name="_356_____________________________________________________________________________________________________________________________________________________________0_F" hidden="1">#REF!</definedName>
    <definedName name="_3560______________________________________________________________________________\MID">'[2]#REF'!#REF!</definedName>
    <definedName name="_3562______________________________________________________________________________\SM">'[2]#REF'!#REF!</definedName>
    <definedName name="_3564_____________________________________________________________________________0_F" hidden="1">#REF!</definedName>
    <definedName name="_3566_____________________________________________________________________________0_S" hidden="1">#REF!</definedName>
    <definedName name="_3568_____________________________________________________________________________0_S" hidden="1">#REF!</definedName>
    <definedName name="_357_____________________________________________________________________________________________________________________________________________________________0_S" hidden="1">#REF!</definedName>
    <definedName name="_3570_____________________________________________________________________________0\SM">'[4]#REF'!#REF!</definedName>
    <definedName name="_3572___________________________________________________________________________0_0__123Grap" hidden="1">[1]공문!#REF!</definedName>
    <definedName name="_3574___________________________________________________________________________0_0_F" hidden="1">[3]Sheet3!#REF!</definedName>
    <definedName name="_3576___________________________________________________________________________0_0_S" hidden="1">[3]Sheet3!#REF!</definedName>
    <definedName name="_3579___________________________________________________________________________3__Crite">#REF!</definedName>
    <definedName name="_358______________________________________________________________________________________________________________________________________________________________________123Grap" hidden="1">[1]공문!#REF!</definedName>
    <definedName name="_358_____________________________________________________________________________________________________________________________________________________________0_S" hidden="1">#REF!</definedName>
    <definedName name="_3581___________________________________________________________________________3__Criteria">#REF!</definedName>
    <definedName name="_3587___________________________________________________________________________G_0Extract">#REF!</definedName>
    <definedName name="_3589___________________________________________________________________________G__Extr">#REF!</definedName>
    <definedName name="_359_____________________________________________________________________________________________________________________________________________________________0\SM">'[4]#REF'!#REF!</definedName>
    <definedName name="_3591___________________________________________________________________________G__Extract">#REF!</definedName>
    <definedName name="_3593______________________________________________________________________________ME">'[2]#REF'!#REF!</definedName>
    <definedName name="_3595______________________________________________________________________________ME">'[2]#REF'!#REF!</definedName>
    <definedName name="_36_____________________________________________________________________________________________________________________________________________________________________________123Grap" hidden="1">[1]공문!#REF!</definedName>
    <definedName name="_36___________________________________________________________________________________________________________________________________________________________________________0_S" hidden="1">#REF!</definedName>
    <definedName name="_360___________________________________________________________________________________________________________________________________________________________________3__Crite">#REF!</definedName>
    <definedName name="_360___________________________________________________________________________________________________________________________________________________________0_0__123Grap" hidden="1">[1]공문!#REF!</definedName>
    <definedName name="_361___________________________________________________________________________________________________________________________________________________________0_0_F" hidden="1">[3]Sheet3!#REF!</definedName>
    <definedName name="_362___________________________________________________________________________________________________________________________________________________________________3__Criteria">#REF!</definedName>
    <definedName name="_362___________________________________________________________________________________________________________________________________________________________0_0_S" hidden="1">[3]Sheet3!#REF!</definedName>
    <definedName name="_363______________________________________________________________________________________________________________________________________________________________123Grap" hidden="1">[1]공문!#REF!</definedName>
    <definedName name="_364______________________________________________________________________________________________________________________________________________________________________F" hidden="1">#REF!</definedName>
    <definedName name="_364___________________________________________________________________________________________________________________________________________________________3__Crite">#REF!</definedName>
    <definedName name="_365___________________________________________________________________________________________________________________________________________________________3__Criteria">#REF!</definedName>
    <definedName name="_3653____________________________________________________________________________123Grap" hidden="1">[1]공문!#REF!</definedName>
    <definedName name="_366______________________________________________________________________________________________________________________________________________________________________F" hidden="1">[3]Sheet3!#REF!</definedName>
    <definedName name="_366______________________________________________________________________________________________________________________________________________________________F" hidden="1">#REF!</definedName>
    <definedName name="_367______________________________________________________________________________________________________________________________________________________________F" hidden="1">[3]Sheet3!#REF!</definedName>
    <definedName name="_368___________________________________________________________________________________________________________________________________________________________________G_0Extract">#REF!</definedName>
    <definedName name="_368___________________________________________________________________________________________________________________________________________________________G_0Extract">#REF!</definedName>
    <definedName name="_3681___________________________________________________________________________F" hidden="1">#REF!</definedName>
    <definedName name="_3683___________________________________________________________________________F" hidden="1">[3]Sheet3!#REF!</definedName>
    <definedName name="_369___________________________________________________________________________________________________________________________________________________________G__Extr">#REF!</definedName>
    <definedName name="_3690___________________________________________________________________________S" hidden="1">#REF!</definedName>
    <definedName name="_3692___________________________________________________________________________S" hidden="1">[3]Sheet3!#REF!</definedName>
    <definedName name="_3694___________________________________________________________________________S" hidden="1">#REF!</definedName>
    <definedName name="_3696__________________________________________________________________________\LA">'[2]#REF'!#REF!</definedName>
    <definedName name="_3698__________________________________________________________________________\MID">'[2]#REF'!#REF!</definedName>
    <definedName name="_37___________________________________________________________________________________________________________________________________________________________________________0\SM">'[4]#REF'!#REF!</definedName>
    <definedName name="_370___________________________________________________________________________________________________________________________________________________________________G__Extr">#REF!</definedName>
    <definedName name="_370___________________________________________________________________________________________________________________________________________________________G__Extract">#REF!</definedName>
    <definedName name="_3700__________________________________________________________________________\SM">'[2]#REF'!#REF!</definedName>
    <definedName name="_3702_________________________________________________________________________0_F" hidden="1">#REF!</definedName>
    <definedName name="_3704_________________________________________________________________________0_S" hidden="1">#REF!</definedName>
    <definedName name="_3706_________________________________________________________________________0_S" hidden="1">#REF!</definedName>
    <definedName name="_3708_________________________________________________________________________0\SM">'[4]#REF'!#REF!</definedName>
    <definedName name="_371______________________________________________________________________________________________________________________________________________________________ME">'[2]#REF'!#REF!</definedName>
    <definedName name="_3710_______________________________________________________________________0_0__123Grap" hidden="1">[1]공문!#REF!</definedName>
    <definedName name="_3712_______________________________________________________________________0_0_F" hidden="1">[3]Sheet3!#REF!</definedName>
    <definedName name="_3714_______________________________________________________________________0_0_S" hidden="1">[3]Sheet3!#REF!</definedName>
    <definedName name="_3717_______________________________________________________________________3__Crite">#REF!</definedName>
    <definedName name="_3719_______________________________________________________________________3__Criteria">#REF!</definedName>
    <definedName name="_372___________________________________________________________________________________________________________________________________________________________________G__Extract">#REF!</definedName>
    <definedName name="_372______________________________________________________________________________________________________________________________________________________________ME">'[2]#REF'!#REF!</definedName>
    <definedName name="_3725_______________________________________________________________________G_0Extract">#REF!</definedName>
    <definedName name="_3727_______________________________________________________________________G__Extr">#REF!</definedName>
    <definedName name="_3729_______________________________________________________________________G__Extract">#REF!</definedName>
    <definedName name="_373______________________________________________________________________________________________________________________________________________________________S" hidden="1">#REF!</definedName>
    <definedName name="_3731__________________________________________________________________________ME">'[2]#REF'!#REF!</definedName>
    <definedName name="_3733__________________________________________________________________________ME">'[2]#REF'!#REF!</definedName>
    <definedName name="_374______________________________________________________________________________________________________________________________________________________________________ME">'[2]#REF'!#REF!</definedName>
    <definedName name="_374______________________________________________________________________________________________________________________________________________________________S" hidden="1">[3]Sheet3!#REF!</definedName>
    <definedName name="_375______________________________________________________________________________________________________________________________________________________________S" hidden="1">#REF!</definedName>
    <definedName name="_376______________________________________________________________________________________________________________________________________________________________________ME">'[2]#REF'!#REF!</definedName>
    <definedName name="_376_____________________________________________________________________________________________________________________________________________________________\LA">'[2]#REF'!#REF!</definedName>
    <definedName name="_377_____________________________________________________________________________________________________________________________________________________________\MID">'[2]#REF'!#REF!</definedName>
    <definedName name="_378______________________________________________________________________________________________________________________________________________________________________S" hidden="1">#REF!</definedName>
    <definedName name="_378_____________________________________________________________________________________________________________________________________________________________\SM">'[2]#REF'!#REF!</definedName>
    <definedName name="_379____________________________________________________________________________________________________________________________________________________________0_F" hidden="1">#REF!</definedName>
    <definedName name="_3791________________________________________________________________________123Grap" hidden="1">[1]공문!#REF!</definedName>
    <definedName name="_38__________________________________________________________________________________________________________________________________________________________________________3__Crite">#REF!</definedName>
    <definedName name="_38_________________________________________________________________________________________________________________________________________________________________________0_0__123Grap" hidden="1">[1]공문!#REF!</definedName>
    <definedName name="_380______________________________________________________________________________________________________________________________________________________________________S" hidden="1">[3]Sheet3!#REF!</definedName>
    <definedName name="_380____________________________________________________________________________________________________________________________________________________________0_S" hidden="1">#REF!</definedName>
    <definedName name="_381____________________________________________________________________________________________________________________________________________________________0_S" hidden="1">#REF!</definedName>
    <definedName name="_3819_______________________________________________________________________F" hidden="1">#REF!</definedName>
    <definedName name="_382______________________________________________________________________________________________________________________________________________________________________S" hidden="1">#REF!</definedName>
    <definedName name="_382____________________________________________________________________________________________________________________________________________________________0\SM">'[4]#REF'!#REF!</definedName>
    <definedName name="_3821_______________________________________________________________________F" hidden="1">[3]Sheet3!#REF!</definedName>
    <definedName name="_3828_______________________________________________________________________S" hidden="1">#REF!</definedName>
    <definedName name="_383__________________________________________________________________________________________________________________________________________________________0_0__123Grap" hidden="1">[1]공문!#REF!</definedName>
    <definedName name="_3830_______________________________________________________________________S" hidden="1">[3]Sheet3!#REF!</definedName>
    <definedName name="_3832_______________________________________________________________________S" hidden="1">#REF!</definedName>
    <definedName name="_3834______________________________________________________________________\LA">'[2]#REF'!#REF!</definedName>
    <definedName name="_3836______________________________________________________________________\MID">'[2]#REF'!#REF!</definedName>
    <definedName name="_3838______________________________________________________________________\SM">'[2]#REF'!#REF!</definedName>
    <definedName name="_384_____________________________________________________________________________________________________________________________________________________________________\LA">'[2]#REF'!#REF!</definedName>
    <definedName name="_384__________________________________________________________________________________________________________________________________________________________0_0_F" hidden="1">[3]Sheet3!#REF!</definedName>
    <definedName name="_3840_____________________________________________________________________0_F" hidden="1">#REF!</definedName>
    <definedName name="_3842_____________________________________________________________________0_S" hidden="1">#REF!</definedName>
    <definedName name="_3844_____________________________________________________________________0_S" hidden="1">#REF!</definedName>
    <definedName name="_3846_____________________________________________________________________0\SM">'[4]#REF'!#REF!</definedName>
    <definedName name="_3848___________________________________________________________________0_0__123Grap" hidden="1">[1]공문!#REF!</definedName>
    <definedName name="_385__________________________________________________________________________________________________________________________________________________________0_0_S" hidden="1">[3]Sheet3!#REF!</definedName>
    <definedName name="_3850___________________________________________________________________0_0_F" hidden="1">[3]Sheet3!#REF!</definedName>
    <definedName name="_3852___________________________________________________________________0_0_S" hidden="1">[3]Sheet3!#REF!</definedName>
    <definedName name="_3855___________________________________________________________________3__Crite">#REF!</definedName>
    <definedName name="_3857___________________________________________________________________3__Criteria">#REF!</definedName>
    <definedName name="_386_____________________________________________________________________________________________________________________________________________________________________\MID">'[2]#REF'!#REF!</definedName>
    <definedName name="_386_____________________________________________________________________________________________________________________________________________________________123Grap" hidden="1">[1]공문!#REF!</definedName>
    <definedName name="_3863___________________________________________________________________G_0Extract">#REF!</definedName>
    <definedName name="_3865___________________________________________________________________G__Extr">#REF!</definedName>
    <definedName name="_3867___________________________________________________________________G__Extract">#REF!</definedName>
    <definedName name="_3869______________________________________________________________________ME">'[2]#REF'!#REF!</definedName>
    <definedName name="_387__________________________________________________________________________________________________________________________________________________________3__Crite">#REF!</definedName>
    <definedName name="_3871______________________________________________________________________ME">'[2]#REF'!#REF!</definedName>
    <definedName name="_388_____________________________________________________________________________________________________________________________________________________________________\SM">'[2]#REF'!#REF!</definedName>
    <definedName name="_388__________________________________________________________________________________________________________________________________________________________3__Criteria">#REF!</definedName>
    <definedName name="_389_____________________________________________________________________________________________________________________________________________________________F" hidden="1">#REF!</definedName>
    <definedName name="_39_________________________________________________________________________________________________________________________________________________________________________0_0_F" hidden="1">[3]Sheet3!#REF!</definedName>
    <definedName name="_390____________________________________________________________________________________________________________________________________________________________________0_F" hidden="1">#REF!</definedName>
    <definedName name="_390_____________________________________________________________________________________________________________________________________________________________F" hidden="1">[3]Sheet3!#REF!</definedName>
    <definedName name="_391__________________________________________________________________________________________________________________________________________________________G_0Extract">#REF!</definedName>
    <definedName name="_392____________________________________________________________________________________________________________________________________________________________________0_S" hidden="1">#REF!</definedName>
    <definedName name="_392__________________________________________________________________________________________________________________________________________________________G__Extr">#REF!</definedName>
    <definedName name="_3929____________________________________________________________________123Grap" hidden="1">[1]공문!#REF!</definedName>
    <definedName name="_393__________________________________________________________________________________________________________________________________________________________G__Extract">#REF!</definedName>
    <definedName name="_394____________________________________________________________________________________________________________________________________________________________________0_S" hidden="1">#REF!</definedName>
    <definedName name="_394_____________________________________________________________________________________________________________________________________________________________ME">'[2]#REF'!#REF!</definedName>
    <definedName name="_395_____________________________________________________________________________________________________________________________________________________________ME">'[2]#REF'!#REF!</definedName>
    <definedName name="_3957___________________________________________________________________F" hidden="1">#REF!</definedName>
    <definedName name="_3959___________________________________________________________________F" hidden="1">[3]Sheet3!#REF!</definedName>
    <definedName name="_396____________________________________________________________________________________________________________________________________________________________________0\SM">'[4]#REF'!#REF!</definedName>
    <definedName name="_396_____________________________________________________________________________________________________________________________________________________________S" hidden="1">#REF!</definedName>
    <definedName name="_3966___________________________________________________________________S" hidden="1">#REF!</definedName>
    <definedName name="_3968___________________________________________________________________S" hidden="1">[3]Sheet3!#REF!</definedName>
    <definedName name="_397_____________________________________________________________________________________________________________________________________________________________S" hidden="1">[3]Sheet3!#REF!</definedName>
    <definedName name="_3970___________________________________________________________________S" hidden="1">#REF!</definedName>
    <definedName name="_3972__________________________________________________________________\LA">'[2]#REF'!#REF!</definedName>
    <definedName name="_3974__________________________________________________________________\MID">'[2]#REF'!#REF!</definedName>
    <definedName name="_3976__________________________________________________________________\SM">'[2]#REF'!#REF!</definedName>
    <definedName name="_3978_________________________________________________________________0_F" hidden="1">#REF!</definedName>
    <definedName name="_398__________________________________________________________________________________________________________________________________________________________________0_0__123Grap" hidden="1">[1]공문!#REF!</definedName>
    <definedName name="_398_____________________________________________________________________________________________________________________________________________________________S" hidden="1">#REF!</definedName>
    <definedName name="_3980_________________________________________________________________0_S" hidden="1">#REF!</definedName>
    <definedName name="_3982_________________________________________________________________0_S" hidden="1">#REF!</definedName>
    <definedName name="_3984_________________________________________________________________0\SM">'[4]#REF'!#REF!</definedName>
    <definedName name="_3986_______________________________________________________________0_0__123Grap" hidden="1">[1]공문!#REF!</definedName>
    <definedName name="_3988_______________________________________________________________0_0_F" hidden="1">[3]Sheet3!#REF!</definedName>
    <definedName name="_399____________________________________________________________________________________________________________________________________________________________\LA">'[2]#REF'!#REF!</definedName>
    <definedName name="_3990_______________________________________________________________0_0_S" hidden="1">[3]Sheet3!#REF!</definedName>
    <definedName name="_3993_______________________________________________________________3__Crite">#REF!</definedName>
    <definedName name="_3995_______________________________________________________________3__Criteria">#REF!</definedName>
    <definedName name="_4______________________________________________________________________________________________________________________________________________________________________________123Grap" hidden="1">[1]공문!#REF!</definedName>
    <definedName name="_4______________________________________________________________________________________________________________________________________________________________________________F" hidden="1">[3]Sheet3!#REF!</definedName>
    <definedName name="_40__________________________________________________________________________________________________________________________________________________________________________3__Criteria">#REF!</definedName>
    <definedName name="_40_________________________________________________________________________________________________________________________________________________________________________0_0_S" hidden="1">[3]Sheet3!#REF!</definedName>
    <definedName name="_400__________________________________________________________________________________________________________________________________________________________________0_0_F" hidden="1">[3]Sheet3!#REF!</definedName>
    <definedName name="_400____________________________________________________________________________________________________________________________________________________________\MID">'[2]#REF'!#REF!</definedName>
    <definedName name="_4001_______________________________________________________________G_0Extract">#REF!</definedName>
    <definedName name="_4003_______________________________________________________________G__Extr">#REF!</definedName>
    <definedName name="_4005_______________________________________________________________G__Extract">#REF!</definedName>
    <definedName name="_4007__________________________________________________________________ME">'[2]#REF'!#REF!</definedName>
    <definedName name="_4009__________________________________________________________________ME">'[2]#REF'!#REF!</definedName>
    <definedName name="_401____________________________________________________________________________________________________________________________________________________________\SM">'[2]#REF'!#REF!</definedName>
    <definedName name="_402__________________________________________________________________________________________________________________________________________________________________0_0_S" hidden="1">[3]Sheet3!#REF!</definedName>
    <definedName name="_402___________________________________________________________________________________________________________________________________________________________0_F" hidden="1">#REF!</definedName>
    <definedName name="_403___________________________________________________________________________________________________________________________________________________________0_S" hidden="1">#REF!</definedName>
    <definedName name="_4037_________________________________________________________________123Grap" hidden="1">[1]공문!#REF!</definedName>
    <definedName name="_404_____________________________________________________________________________________________________________________________________________________________________123Grap" hidden="1">[1]공문!#REF!</definedName>
    <definedName name="_404___________________________________________________________________________________________________________________________________________________________0_S" hidden="1">#REF!</definedName>
    <definedName name="_405___________________________________________________________________________________________________________________________________________________________0\SM">'[4]#REF'!#REF!</definedName>
    <definedName name="_406__________________________________________________________________________________________________________________________________________________________________3__Crite">#REF!</definedName>
    <definedName name="_406_________________________________________________________________________________________________________________________________________________________0_0__123Grap" hidden="1">[1]공문!#REF!</definedName>
    <definedName name="_407_________________________________________________________________________________________________________________________________________________________0_0_F" hidden="1">[3]Sheet3!#REF!</definedName>
    <definedName name="_4072________________________________________________________________F" hidden="1">#REF!</definedName>
    <definedName name="_4074________________________________________________________________F" hidden="1">[3]Sheet3!#REF!</definedName>
    <definedName name="_408__________________________________________________________________________________________________________________________________________________________________3__Criteria">#REF!</definedName>
    <definedName name="_408_________________________________________________________________________________________________________________________________________________________0_0_S" hidden="1">[3]Sheet3!#REF!</definedName>
    <definedName name="_4081________________________________________________________________S" hidden="1">#REF!</definedName>
    <definedName name="_4083________________________________________________________________S" hidden="1">[3]Sheet3!#REF!</definedName>
    <definedName name="_4085________________________________________________________________S" hidden="1">#REF!</definedName>
    <definedName name="_4087_______________________________________________________________\LA">'[2]#REF'!#REF!</definedName>
    <definedName name="_4089_______________________________________________________________\MID">'[2]#REF'!#REF!</definedName>
    <definedName name="_409____________________________________________________________________________________________________________________________________________________________123Grap" hidden="1">[1]공문!#REF!</definedName>
    <definedName name="_4091_______________________________________________________________\SM">'[2]#REF'!#REF!</definedName>
    <definedName name="_4093______________________________________________________________0_F" hidden="1">#REF!</definedName>
    <definedName name="_4095______________________________________________________________0_S" hidden="1">#REF!</definedName>
    <definedName name="_4097______________________________________________________________0_S" hidden="1">#REF!</definedName>
    <definedName name="_4099______________________________________________________________0\SM">'[4]#REF'!#REF!</definedName>
    <definedName name="_41____________________________________________________________________________________________________________________________________________________________________________123Grap" hidden="1">[1]공문!#REF!</definedName>
    <definedName name="_410_____________________________________________________________________________________________________________________________________________________________________F" hidden="1">#REF!</definedName>
    <definedName name="_410_________________________________________________________________________________________________________________________________________________________3__Crite">#REF!</definedName>
    <definedName name="_4101____________________________________________________________0_0__123Grap" hidden="1">[1]공문!#REF!</definedName>
    <definedName name="_4103____________________________________________________________0_0_F" hidden="1">[3]Sheet3!#REF!</definedName>
    <definedName name="_4105____________________________________________________________0_0_S" hidden="1">[3]Sheet3!#REF!</definedName>
    <definedName name="_4108____________________________________________________________3__Crite">#REF!</definedName>
    <definedName name="_411_________________________________________________________________________________________________________________________________________________________3__Criteria">#REF!</definedName>
    <definedName name="_4110____________________________________________________________3__Criteria">#REF!</definedName>
    <definedName name="_4116____________________________________________________________G_0Extract">#REF!</definedName>
    <definedName name="_4118____________________________________________________________G__Extr">#REF!</definedName>
    <definedName name="_412_____________________________________________________________________________________________________________________________________________________________________F" hidden="1">[3]Sheet3!#REF!</definedName>
    <definedName name="_412____________________________________________________________________________________________________________________________________________________________F" hidden="1">#REF!</definedName>
    <definedName name="_4120____________________________________________________________G__Extract">#REF!</definedName>
    <definedName name="_4122_______________________________________________________________ME">'[2]#REF'!#REF!</definedName>
    <definedName name="_4124_______________________________________________________________ME">'[2]#REF'!#REF!</definedName>
    <definedName name="_413____________________________________________________________________________________________________________________________________________________________F" hidden="1">[3]Sheet3!#REF!</definedName>
    <definedName name="_414__________________________________________________________________________________________________________________________________________________________________G_0Extract">#REF!</definedName>
    <definedName name="_414_________________________________________________________________________________________________________________________________________________________G_0Extract">#REF!</definedName>
    <definedName name="_415_________________________________________________________________________________________________________________________________________________________G__Extr">#REF!</definedName>
    <definedName name="_4152______________________________________________________________123Grap" hidden="1">[1]공문!#REF!</definedName>
    <definedName name="_416__________________________________________________________________________________________________________________________________________________________________G__Extr">#REF!</definedName>
    <definedName name="_416_________________________________________________________________________________________________________________________________________________________G__Extract">#REF!</definedName>
    <definedName name="_417____________________________________________________________________________________________________________________________________________________________ME">'[2]#REF'!#REF!</definedName>
    <definedName name="_418__________________________________________________________________________________________________________________________________________________________________G__Extract">#REF!</definedName>
    <definedName name="_418____________________________________________________________________________________________________________________________________________________________ME">'[2]#REF'!#REF!</definedName>
    <definedName name="_4187_____________________________________________________________F" hidden="1">#REF!</definedName>
    <definedName name="_4189_____________________________________________________________F" hidden="1">[3]Sheet3!#REF!</definedName>
    <definedName name="_419____________________________________________________________________________________________________________________________________________________________S" hidden="1">#REF!</definedName>
    <definedName name="_4196_____________________________________________________________S" hidden="1">#REF!</definedName>
    <definedName name="_4198_____________________________________________________________S" hidden="1">[3]Sheet3!#REF!</definedName>
    <definedName name="_42_____________________________________________________________________________________________________________________________________________________________________________F" hidden="1">#REF!</definedName>
    <definedName name="_42_________________________________________________________________________________________________________________________________________________________________________3__Crite">#REF!</definedName>
    <definedName name="_420_____________________________________________________________________________________________________________________________________________________________________ME">'[2]#REF'!#REF!</definedName>
    <definedName name="_420____________________________________________________________________________________________________________________________________________________________S" hidden="1">[3]Sheet3!#REF!</definedName>
    <definedName name="_4200_____________________________________________________________S" hidden="1">#REF!</definedName>
    <definedName name="_4202____________________________________________________________\LA">'[2]#REF'!#REF!</definedName>
    <definedName name="_4204____________________________________________________________\MID">'[2]#REF'!#REF!</definedName>
    <definedName name="_4206____________________________________________________________\SM">'[2]#REF'!#REF!</definedName>
    <definedName name="_4208___________________________________________________________0_F" hidden="1">#REF!</definedName>
    <definedName name="_421____________________________________________________________________________________________________________________________________________________________S" hidden="1">#REF!</definedName>
    <definedName name="_4210___________________________________________________________0_S" hidden="1">#REF!</definedName>
    <definedName name="_4212___________________________________________________________0_S" hidden="1">#REF!</definedName>
    <definedName name="_4214___________________________________________________________0\SM">'[4]#REF'!#REF!</definedName>
    <definedName name="_4216_________________________________________________________0_0__123Grap" hidden="1">[1]공문!#REF!</definedName>
    <definedName name="_4218_________________________________________________________0_0_F" hidden="1">[3]Sheet3!#REF!</definedName>
    <definedName name="_422_____________________________________________________________________________________________________________________________________________________________________ME">'[2]#REF'!#REF!</definedName>
    <definedName name="_422___________________________________________________________________________________________________________________________________________________________\LA">'[2]#REF'!#REF!</definedName>
    <definedName name="_4220_________________________________________________________0_0_S" hidden="1">[3]Sheet3!#REF!</definedName>
    <definedName name="_4223_________________________________________________________3__Crite">#REF!</definedName>
    <definedName name="_4225_________________________________________________________3__Criteria">#REF!</definedName>
    <definedName name="_423___________________________________________________________________________________________________________________________________________________________\MID">'[2]#REF'!#REF!</definedName>
    <definedName name="_4231_________________________________________________________G_0Extract">#REF!</definedName>
    <definedName name="_4233_________________________________________________________G__Extr">#REF!</definedName>
    <definedName name="_4235_________________________________________________________G__Extract">#REF!</definedName>
    <definedName name="_4237____________________________________________________________ME">'[2]#REF'!#REF!</definedName>
    <definedName name="_4239____________________________________________________________ME">'[2]#REF'!#REF!</definedName>
    <definedName name="_424_____________________________________________________________________________________________________________________________________________________________________S" hidden="1">#REF!</definedName>
    <definedName name="_424___________________________________________________________________________________________________________________________________________________________\SM">'[2]#REF'!#REF!</definedName>
    <definedName name="_425__________________________________________________________________________________________________________________________________________________________0_F" hidden="1">#REF!</definedName>
    <definedName name="_426_____________________________________________________________________________________________________________________________________________________________________S" hidden="1">[3]Sheet3!#REF!</definedName>
    <definedName name="_426__________________________________________________________________________________________________________________________________________________________0_S" hidden="1">#REF!</definedName>
    <definedName name="_4267___________________________________________________________123Grap" hidden="1">[1]공문!#REF!</definedName>
    <definedName name="_427__________________________________________________________________________________________________________________________________________________________0_S" hidden="1">#REF!</definedName>
    <definedName name="_428_____________________________________________________________________________________________________________________________________________________________________S" hidden="1">#REF!</definedName>
    <definedName name="_428__________________________________________________________________________________________________________________________________________________________0\SM">'[4]#REF'!#REF!</definedName>
    <definedName name="_429________________________________________________________________________________________________________________________________________________________0_0__123Grap" hidden="1">[1]공문!#REF!</definedName>
    <definedName name="_43_________________________________________________________________________________________________________________________________________________________________________3__Criteria">#REF!</definedName>
    <definedName name="_430____________________________________________________________________________________________________________________________________________________________________\LA">'[2]#REF'!#REF!</definedName>
    <definedName name="_430________________________________________________________________________________________________________________________________________________________0_0_F" hidden="1">[3]Sheet3!#REF!</definedName>
    <definedName name="_4302__________________________________________________________F" hidden="1">#REF!</definedName>
    <definedName name="_4304__________________________________________________________F" hidden="1">[3]Sheet3!#REF!</definedName>
    <definedName name="_431________________________________________________________________________________________________________________________________________________________0_0_S" hidden="1">[3]Sheet3!#REF!</definedName>
    <definedName name="_4311__________________________________________________________S" hidden="1">#REF!</definedName>
    <definedName name="_4313__________________________________________________________S" hidden="1">[3]Sheet3!#REF!</definedName>
    <definedName name="_4315__________________________________________________________S" hidden="1">#REF!</definedName>
    <definedName name="_4317_________________________________________________________\LA">'[2]#REF'!#REF!</definedName>
    <definedName name="_4319_________________________________________________________\MID">'[2]#REF'!#REF!</definedName>
    <definedName name="_432____________________________________________________________________________________________________________________________________________________________________\MID">'[2]#REF'!#REF!</definedName>
    <definedName name="_432___________________________________________________________________________________________________________________________________________________________123Grap" hidden="1">[1]공문!#REF!</definedName>
    <definedName name="_4321_________________________________________________________\SM">'[2]#REF'!#REF!</definedName>
    <definedName name="_4323________________________________________________________0_F" hidden="1">#REF!</definedName>
    <definedName name="_4325________________________________________________________0_S" hidden="1">#REF!</definedName>
    <definedName name="_4327________________________________________________________0_S" hidden="1">#REF!</definedName>
    <definedName name="_4329________________________________________________________0\SM">'[4]#REF'!#REF!</definedName>
    <definedName name="_433________________________________________________________________________________________________________________________________________________________3__Crite">#REF!</definedName>
    <definedName name="_4331______________________________________________________0_0__123Grap" hidden="1">[1]공문!#REF!</definedName>
    <definedName name="_4333______________________________________________________0_0_F" hidden="1">[3]Sheet3!#REF!</definedName>
    <definedName name="_4335______________________________________________________0_0_S" hidden="1">[3]Sheet3!#REF!</definedName>
    <definedName name="_4338______________________________________________________3__Crite">#REF!</definedName>
    <definedName name="_434____________________________________________________________________________________________________________________________________________________________________\SM">'[2]#REF'!#REF!</definedName>
    <definedName name="_434________________________________________________________________________________________________________________________________________________________3__Criteria">#REF!</definedName>
    <definedName name="_4340______________________________________________________3__Criteria">#REF!</definedName>
    <definedName name="_4346______________________________________________________G_0Extract">#REF!</definedName>
    <definedName name="_4348______________________________________________________G__Extr">#REF!</definedName>
    <definedName name="_435___________________________________________________________________________________________________________________________________________________________F" hidden="1">#REF!</definedName>
    <definedName name="_4350______________________________________________________G__Extract">#REF!</definedName>
    <definedName name="_4352_________________________________________________________ME">'[2]#REF'!#REF!</definedName>
    <definedName name="_4354_________________________________________________________ME">'[2]#REF'!#REF!</definedName>
    <definedName name="_436___________________________________________________________________________________________________________________________________________________________________0_F" hidden="1">#REF!</definedName>
    <definedName name="_436___________________________________________________________________________________________________________________________________________________________F" hidden="1">[3]Sheet3!#REF!</definedName>
    <definedName name="_437________________________________________________________________________________________________________________________________________________________G_0Extract">#REF!</definedName>
    <definedName name="_438___________________________________________________________________________________________________________________________________________________________________0_S" hidden="1">#REF!</definedName>
    <definedName name="_438________________________________________________________________________________________________________________________________________________________G__Extr">#REF!</definedName>
    <definedName name="_439________________________________________________________________________________________________________________________________________________________G__Extract">#REF!</definedName>
    <definedName name="_44_____________________________________________________________________________________________________________________________________________________________________________F" hidden="1">[3]Sheet3!#REF!</definedName>
    <definedName name="_44____________________________________________________________________________________________________________________________________________________________________________F" hidden="1">#REF!</definedName>
    <definedName name="_440___________________________________________________________________________________________________________________________________________________________________0_S" hidden="1">#REF!</definedName>
    <definedName name="_440___________________________________________________________________________________________________________________________________________________________ME">'[2]#REF'!#REF!</definedName>
    <definedName name="_441___________________________________________________________________________________________________________________________________________________________ME">'[2]#REF'!#REF!</definedName>
    <definedName name="_442___________________________________________________________________________________________________________________________________________________________________0\SM">'[4]#REF'!#REF!</definedName>
    <definedName name="_442___________________________________________________________________________________________________________________________________________________________S" hidden="1">#REF!</definedName>
    <definedName name="_443___________________________________________________________________________________________________________________________________________________________S" hidden="1">[3]Sheet3!#REF!</definedName>
    <definedName name="_444_________________________________________________________________________________________________________________________________________________________________0_0__123Grap" hidden="1">[1]공문!#REF!</definedName>
    <definedName name="_444___________________________________________________________________________________________________________________________________________________________S" hidden="1">#REF!</definedName>
    <definedName name="_445__________________________________________________________________________________________________________________________________________________________\LA">'[2]#REF'!#REF!</definedName>
    <definedName name="_446_________________________________________________________________________________________________________________________________________________________________0_0_F" hidden="1">[3]Sheet3!#REF!</definedName>
    <definedName name="_446__________________________________________________________________________________________________________________________________________________________\MID">'[2]#REF'!#REF!</definedName>
    <definedName name="_447__________________________________________________________________________________________________________________________________________________________\SM">'[2]#REF'!#REF!</definedName>
    <definedName name="_448_________________________________________________________________________________________________________________________________________________________________0_0_S" hidden="1">[3]Sheet3!#REF!</definedName>
    <definedName name="_448_________________________________________________________________________________________________________________________________________________________0_F" hidden="1">#REF!</definedName>
    <definedName name="_449_________________________________________________________________________________________________________________________________________________________0_S" hidden="1">#REF!</definedName>
    <definedName name="_45____________________________________________________________________________________________________________________________________________________________________________F" hidden="1">[3]Sheet3!#REF!</definedName>
    <definedName name="_450____________________________________________________________________________________________________________________________________________________________________123Grap" hidden="1">[1]공문!#REF!</definedName>
    <definedName name="_450_________________________________________________________________________________________________________________________________________________________0_S" hidden="1">#REF!</definedName>
    <definedName name="_451_________________________________________________________________________________________________________________________________________________________0\SM">'[4]#REF'!#REF!</definedName>
    <definedName name="_452_________________________________________________________________________________________________________________________________________________________________3__Crite">#REF!</definedName>
    <definedName name="_452_______________________________________________________________________________________________________________________________________________________0_0__123Grap" hidden="1">[1]공문!#REF!</definedName>
    <definedName name="_453_______________________________________________________________________________________________________________________________________________________0_0_F" hidden="1">[3]Sheet3!#REF!</definedName>
    <definedName name="_454_________________________________________________________________________________________________________________________________________________________________3__Criteria">#REF!</definedName>
    <definedName name="_454_______________________________________________________________________________________________________________________________________________________0_0_S" hidden="1">[3]Sheet3!#REF!</definedName>
    <definedName name="_455__________________________________________________________________________________________________________________________________________________________123Grap" hidden="1">[1]공문!#REF!</definedName>
    <definedName name="_456____________________________________________________________________________________________________________________________________________________________________F" hidden="1">#REF!</definedName>
    <definedName name="_456_______________________________________________________________________________________________________________________________________________________3__Crite">#REF!</definedName>
    <definedName name="_457_______________________________________________________________________________________________________________________________________________________3__Criteria">#REF!</definedName>
    <definedName name="_458____________________________________________________________________________________________________________________________________________________________________F" hidden="1">[3]Sheet3!#REF!</definedName>
    <definedName name="_458__________________________________________________________________________________________________________________________________________________________F" hidden="1">#REF!</definedName>
    <definedName name="_459__________________________________________________________________________________________________________________________________________________________F" hidden="1">[3]Sheet3!#REF!</definedName>
    <definedName name="_46__________________________________________________________________________________________________________________________________________________________________________G_0Extract">#REF!</definedName>
    <definedName name="_46_________________________________________________________________________________________________________________________________________________________________________G_0Extract">#REF!</definedName>
    <definedName name="_460_________________________________________________________________________________________________________________________________________________________________G_0Extract">#REF!</definedName>
    <definedName name="_460_______________________________________________________________________________________________________________________________________________________G_0Extract">#REF!</definedName>
    <definedName name="_461_______________________________________________________________________________________________________________________________________________________G__Extr">#REF!</definedName>
    <definedName name="_462_________________________________________________________________________________________________________________________________________________________________G__Extr">#REF!</definedName>
    <definedName name="_462_______________________________________________________________________________________________________________________________________________________G__Extract">#REF!</definedName>
    <definedName name="_463__________________________________________________________________________________________________________________________________________________________ME">'[2]#REF'!#REF!</definedName>
    <definedName name="_464_________________________________________________________________________________________________________________________________________________________________G__Extract">#REF!</definedName>
    <definedName name="_464__________________________________________________________________________________________________________________________________________________________ME">'[2]#REF'!#REF!</definedName>
    <definedName name="_465__________________________________________________________________________________________________________________________________________________________S" hidden="1">#REF!</definedName>
    <definedName name="_466____________________________________________________________________________________________________________________________________________________________________ME">'[2]#REF'!#REF!</definedName>
    <definedName name="_466__________________________________________________________________________________________________________________________________________________________S" hidden="1">[3]Sheet3!#REF!</definedName>
    <definedName name="_467__________________________________________________________________________________________________________________________________________________________S" hidden="1">#REF!</definedName>
    <definedName name="_468____________________________________________________________________________________________________________________________________________________________________ME">'[2]#REF'!#REF!</definedName>
    <definedName name="_468_________________________________________________________________________________________________________________________________________________________\LA">'[2]#REF'!#REF!</definedName>
    <definedName name="_469_________________________________________________________________________________________________________________________________________________________\MID">'[2]#REF'!#REF!</definedName>
    <definedName name="_47_________________________________________________________________________________________________________________________________________________________________________G__Extr">#REF!</definedName>
    <definedName name="_470____________________________________________________________________________________________________________________________________________________________________S" hidden="1">#REF!</definedName>
    <definedName name="_470_________________________________________________________________________________________________________________________________________________________\SM">'[2]#REF'!#REF!</definedName>
    <definedName name="_471________________________________________________________________________________________________________________________________________________________0_F" hidden="1">#REF!</definedName>
    <definedName name="_472____________________________________________________________________________________________________________________________________________________________________S" hidden="1">[3]Sheet3!#REF!</definedName>
    <definedName name="_472________________________________________________________________________________________________________________________________________________________0_S" hidden="1">#REF!</definedName>
    <definedName name="_473________________________________________________________________________________________________________________________________________________________0_S" hidden="1">#REF!</definedName>
    <definedName name="_474____________________________________________________________________________________________________________________________________________________________________S" hidden="1">#REF!</definedName>
    <definedName name="_474________________________________________________________________________________________________________________________________________________________0\SM">'[4]#REF'!#REF!</definedName>
    <definedName name="_475______________________________________________________________________________________________________________________________________________________0_0__123Grap" hidden="1">[1]공문!#REF!</definedName>
    <definedName name="_476___________________________________________________________________________________________________________________________________________________________________\LA">'[2]#REF'!#REF!</definedName>
    <definedName name="_476______________________________________________________________________________________________________________________________________________________0_0_F" hidden="1">[3]Sheet3!#REF!</definedName>
    <definedName name="_477______________________________________________________________________________________________________________________________________________________0_0_S" hidden="1">[3]Sheet3!#REF!</definedName>
    <definedName name="_478___________________________________________________________________________________________________________________________________________________________________\MID">'[2]#REF'!#REF!</definedName>
    <definedName name="_478_________________________________________________________________________________________________________________________________________________________123Grap" hidden="1">[1]공문!#REF!</definedName>
    <definedName name="_479______________________________________________________________________________________________________________________________________________________3__Crite">#REF!</definedName>
    <definedName name="_48__________________________________________________________________________________________________________________________________________________________________________G__Extr">#REF!</definedName>
    <definedName name="_48_________________________________________________________________________________________________________________________________________________________________________G__Extract">#REF!</definedName>
    <definedName name="_480___________________________________________________________________________________________________________________________________________________________________\SM">'[2]#REF'!#REF!</definedName>
    <definedName name="_480______________________________________________________________________________________________________________________________________________________3__Criteria">#REF!</definedName>
    <definedName name="_481_________________________________________________________________________________________________________________________________________________________F" hidden="1">#REF!</definedName>
    <definedName name="_482__________________________________________________________________________________________________________________________________________________________________0_F" hidden="1">#REF!</definedName>
    <definedName name="_482_________________________________________________________________________________________________________________________________________________________F" hidden="1">[3]Sheet3!#REF!</definedName>
    <definedName name="_483______________________________________________________________________________________________________________________________________________________G_0Extract">#REF!</definedName>
    <definedName name="_484__________________________________________________________________________________________________________________________________________________________________0_S" hidden="1">#REF!</definedName>
    <definedName name="_484______________________________________________________________________________________________________________________________________________________G__Extr">#REF!</definedName>
    <definedName name="_485______________________________________________________________________________________________________________________________________________________G__Extract">#REF!</definedName>
    <definedName name="_486__________________________________________________________________________________________________________________________________________________________________0_S" hidden="1">#REF!</definedName>
    <definedName name="_486_________________________________________________________________________________________________________________________________________________________ME">'[2]#REF'!#REF!</definedName>
    <definedName name="_487_________________________________________________________________________________________________________________________________________________________ME">'[2]#REF'!#REF!</definedName>
    <definedName name="_488__________________________________________________________________________________________________________________________________________________________________0\SM">'[4]#REF'!#REF!</definedName>
    <definedName name="_488_________________________________________________________________________________________________________________________________________________________S" hidden="1">#REF!</definedName>
    <definedName name="_489_________________________________________________________________________________________________________________________________________________________S" hidden="1">[3]Sheet3!#REF!</definedName>
    <definedName name="_49____________________________________________________________________________________________________________________________________________________________________________ME">'[2]#REF'!#REF!</definedName>
    <definedName name="_490________________________________________________________________________________________________________________________________________________________________0_0__123Grap" hidden="1">[1]공문!#REF!</definedName>
    <definedName name="_490_________________________________________________________________________________________________________________________________________________________S" hidden="1">#REF!</definedName>
    <definedName name="_491________________________________________________________________________________________________________________________________________________________\LA">'[2]#REF'!#REF!</definedName>
    <definedName name="_492________________________________________________________________________________________________________________________________________________________________0_0_F" hidden="1">[3]Sheet3!#REF!</definedName>
    <definedName name="_492________________________________________________________________________________________________________________________________________________________\MID">'[2]#REF'!#REF!</definedName>
    <definedName name="_493________________________________________________________________________________________________________________________________________________________\SM">'[2]#REF'!#REF!</definedName>
    <definedName name="_494________________________________________________________________________________________________________________________________________________________________0_0_S" hidden="1">[3]Sheet3!#REF!</definedName>
    <definedName name="_494_______________________________________________________________________________________________________________________________________________________0_F" hidden="1">#REF!</definedName>
    <definedName name="_495_______________________________________________________________________________________________________________________________________________________0_S" hidden="1">#REF!</definedName>
    <definedName name="_496___________________________________________________________________________________________________________________________________________________________________123Grap" hidden="1">[1]공문!#REF!</definedName>
    <definedName name="_496_______________________________________________________________________________________________________________________________________________________0_S" hidden="1">#REF!</definedName>
    <definedName name="_497_______________________________________________________________________________________________________________________________________________________0\SM">'[4]#REF'!#REF!</definedName>
    <definedName name="_498________________________________________________________________________________________________________________________________________________________________3__Crite">#REF!</definedName>
    <definedName name="_498_____________________________________________________________________________________________________________________________________________________0_0__123Grap" hidden="1">[1]공문!#REF!</definedName>
    <definedName name="_499_____________________________________________________________________________________________________________________________________________________0_0_F" hidden="1">[3]Sheet3!#REF!</definedName>
    <definedName name="_5______________________________________________________________________________________________________________________________________________________________________________S" hidden="1">#REF!</definedName>
    <definedName name="_50____________________________________________________________________________________________________________________________________________________________________________ME">'[2]#REF'!#REF!</definedName>
    <definedName name="_50__________________________________________________________________________________________________________________________________________________________________________G__Extract">#REF!</definedName>
    <definedName name="_500________________________________________________________________________________________________________________________________________________________________3__Criteria">#REF!</definedName>
    <definedName name="_500_____________________________________________________________________________________________________________________________________________________0_0_S" hidden="1">[3]Sheet3!#REF!</definedName>
    <definedName name="_501________________________________________________________________________________________________________________________________________________________123Grap" hidden="1">[1]공문!#REF!</definedName>
    <definedName name="_502___________________________________________________________________________________________________________________________________________________________________F" hidden="1">#REF!</definedName>
    <definedName name="_502_____________________________________________________________________________________________________________________________________________________3__Crite">#REF!</definedName>
    <definedName name="_503_____________________________________________________________________________________________________________________________________________________3__Criteria">#REF!</definedName>
    <definedName name="_504___________________________________________________________________________________________________________________________________________________________________F" hidden="1">[3]Sheet3!#REF!</definedName>
    <definedName name="_504________________________________________________________________________________________________________________________________________________________F" hidden="1">#REF!</definedName>
    <definedName name="_505________________________________________________________________________________________________________________________________________________________F" hidden="1">[3]Sheet3!#REF!</definedName>
    <definedName name="_506________________________________________________________________________________________________________________________________________________________________G_0Extract">#REF!</definedName>
    <definedName name="_506_____________________________________________________________________________________________________________________________________________________G_0Extract">#REF!</definedName>
    <definedName name="_507_____________________________________________________________________________________________________________________________________________________G__Extr">#REF!</definedName>
    <definedName name="_508________________________________________________________________________________________________________________________________________________________________G__Extr">#REF!</definedName>
    <definedName name="_508_____________________________________________________________________________________________________________________________________________________G__Extract">#REF!</definedName>
    <definedName name="_509________________________________________________________________________________________________________________________________________________________ME">'[2]#REF'!#REF!</definedName>
    <definedName name="_51____________________________________________________________________________________________________________________________________________________________________________S" hidden="1">#REF!</definedName>
    <definedName name="_510________________________________________________________________________________________________________________________________________________________________G__Extract">#REF!</definedName>
    <definedName name="_510________________________________________________________________________________________________________________________________________________________ME">'[2]#REF'!#REF!</definedName>
    <definedName name="_511________________________________________________________________________________________________________________________________________________________S" hidden="1">#REF!</definedName>
    <definedName name="_512___________________________________________________________________________________________________________________________________________________________________ME">'[2]#REF'!#REF!</definedName>
    <definedName name="_512________________________________________________________________________________________________________________________________________________________S" hidden="1">[3]Sheet3!#REF!</definedName>
    <definedName name="_513________________________________________________________________________________________________________________________________________________________S" hidden="1">#REF!</definedName>
    <definedName name="_514___________________________________________________________________________________________________________________________________________________________________ME">'[2]#REF'!#REF!</definedName>
    <definedName name="_514_______________________________________________________________________________________________________________________________________________________\LA">'[2]#REF'!#REF!</definedName>
    <definedName name="_515_______________________________________________________________________________________________________________________________________________________\MID">'[2]#REF'!#REF!</definedName>
    <definedName name="_516___________________________________________________________________________________________________________________________________________________________________S" hidden="1">#REF!</definedName>
    <definedName name="_516_______________________________________________________________________________________________________________________________________________________\SM">'[2]#REF'!#REF!</definedName>
    <definedName name="_517______________________________________________________________________________________________________________________________________________________0_F" hidden="1">#REF!</definedName>
    <definedName name="_518___________________________________________________________________________________________________________________________________________________________________S" hidden="1">[3]Sheet3!#REF!</definedName>
    <definedName name="_518______________________________________________________________________________________________________________________________________________________0_S" hidden="1">#REF!</definedName>
    <definedName name="_519______________________________________________________________________________________________________________________________________________________0_S" hidden="1">#REF!</definedName>
    <definedName name="_52_____________________________________________________________________________________________________________________________________________________________________________ME">'[2]#REF'!#REF!</definedName>
    <definedName name="_52____________________________________________________________________________________________________________________________________________________________________________S" hidden="1">[3]Sheet3!#REF!</definedName>
    <definedName name="_520___________________________________________________________________________________________________________________________________________________________________S" hidden="1">#REF!</definedName>
    <definedName name="_520______________________________________________________________________________________________________________________________________________________0\SM">'[4]#REF'!#REF!</definedName>
    <definedName name="_521____________________________________________________________________________________________________________________________________________________0_0__123Grap" hidden="1">[1]공문!#REF!</definedName>
    <definedName name="_522__________________________________________________________________________________________________________________________________________________________________\LA">'[2]#REF'!#REF!</definedName>
    <definedName name="_522____________________________________________________________________________________________________________________________________________________0_0_F" hidden="1">[3]Sheet3!#REF!</definedName>
    <definedName name="_523____________________________________________________________________________________________________________________________________________________0_0_S" hidden="1">[3]Sheet3!#REF!</definedName>
    <definedName name="_524__________________________________________________________________________________________________________________________________________________________________\MID">'[2]#REF'!#REF!</definedName>
    <definedName name="_524_______________________________________________________________________________________________________________________________________________________123Grap" hidden="1">[1]공문!#REF!</definedName>
    <definedName name="_525____________________________________________________________________________________________________________________________________________________3__Crite">#REF!</definedName>
    <definedName name="_526__________________________________________________________________________________________________________________________________________________________________\SM">'[2]#REF'!#REF!</definedName>
    <definedName name="_526____________________________________________________________________________________________________________________________________________________3__Criteria">#REF!</definedName>
    <definedName name="_527_______________________________________________________________________________________________________________________________________________________F" hidden="1">#REF!</definedName>
    <definedName name="_528_________________________________________________________________________________________________________________________________________________________________0_F" hidden="1">#REF!</definedName>
    <definedName name="_528_______________________________________________________________________________________________________________________________________________________F" hidden="1">[3]Sheet3!#REF!</definedName>
    <definedName name="_529____________________________________________________________________________________________________________________________________________________G_0Extract">#REF!</definedName>
    <definedName name="_53____________________________________________________________________________________________________________________________________________________________________________S" hidden="1">#REF!</definedName>
    <definedName name="_530_________________________________________________________________________________________________________________________________________________________________0_S" hidden="1">#REF!</definedName>
    <definedName name="_530____________________________________________________________________________________________________________________________________________________G__Extr">#REF!</definedName>
    <definedName name="_531____________________________________________________________________________________________________________________________________________________G__Extract">#REF!</definedName>
    <definedName name="_532_________________________________________________________________________________________________________________________________________________________________0_S" hidden="1">#REF!</definedName>
    <definedName name="_532_______________________________________________________________________________________________________________________________________________________ME">'[2]#REF'!#REF!</definedName>
    <definedName name="_533_______________________________________________________________________________________________________________________________________________________ME">'[2]#REF'!#REF!</definedName>
    <definedName name="_534_________________________________________________________________________________________________________________________________________________________________0\SM">'[4]#REF'!#REF!</definedName>
    <definedName name="_534_______________________________________________________________________________________________________________________________________________________S" hidden="1">#REF!</definedName>
    <definedName name="_535_______________________________________________________________________________________________________________________________________________________S" hidden="1">[3]Sheet3!#REF!</definedName>
    <definedName name="_536_______________________________________________________________________________________________________________________________________________________________0_0__123Grap" hidden="1">[1]공문!#REF!</definedName>
    <definedName name="_536_______________________________________________________________________________________________________________________________________________________S" hidden="1">#REF!</definedName>
    <definedName name="_537______________________________________________________________________________________________________________________________________________________\LA">'[2]#REF'!#REF!</definedName>
    <definedName name="_538_______________________________________________________________________________________________________________________________________________________________0_0_F" hidden="1">[3]Sheet3!#REF!</definedName>
    <definedName name="_538______________________________________________________________________________________________________________________________________________________\MID">'[2]#REF'!#REF!</definedName>
    <definedName name="_539______________________________________________________________________________________________________________________________________________________\SM">'[2]#REF'!#REF!</definedName>
    <definedName name="_54_____________________________________________________________________________________________________________________________________________________________________________ME">'[2]#REF'!#REF!</definedName>
    <definedName name="_54___________________________________________________________________________________________________________________________________________________________________________\LA">'[2]#REF'!#REF!</definedName>
    <definedName name="_540_______________________________________________________________________________________________________________________________________________________________0_0_S" hidden="1">[3]Sheet3!#REF!</definedName>
    <definedName name="_540_____________________________________________________________________________________________________________________________________________________0_F" hidden="1">#REF!</definedName>
    <definedName name="_541_____________________________________________________________________________________________________________________________________________________0_S" hidden="1">#REF!</definedName>
    <definedName name="_542__________________________________________________________________________________________________________________________________________________________________123Grap" hidden="1">[1]공문!#REF!</definedName>
    <definedName name="_542_____________________________________________________________________________________________________________________________________________________0_S" hidden="1">#REF!</definedName>
    <definedName name="_543_____________________________________________________________________________________________________________________________________________________0\SM">'[4]#REF'!#REF!</definedName>
    <definedName name="_544_______________________________________________________________________________________________________________________________________________________________3__Crite">#REF!</definedName>
    <definedName name="_544___________________________________________________________________________________________________________________________________________________0_0__123Grap" hidden="1">[1]공문!#REF!</definedName>
    <definedName name="_545___________________________________________________________________________________________________________________________________________________0_0_F" hidden="1">[3]Sheet3!#REF!</definedName>
    <definedName name="_546_______________________________________________________________________________________________________________________________________________________________3__Criteria">#REF!</definedName>
    <definedName name="_546___________________________________________________________________________________________________________________________________________________0_0_S" hidden="1">[3]Sheet3!#REF!</definedName>
    <definedName name="_547___________________________________________________________________________________________________________________________________________________3__Crite">#REF!</definedName>
    <definedName name="_548__________________________________________________________________________________________________________________________________________________________________F" hidden="1">#REF!</definedName>
    <definedName name="_548___________________________________________________________________________________________________________________________________________________3__Crite">#REF!</definedName>
    <definedName name="_548___________________________________________________________________________________________________________________________________________________3__Criteria">#REF!</definedName>
    <definedName name="_549______________________________________________________________________________________________________________________________________________________F" hidden="1">#REF!</definedName>
    <definedName name="_549___________________________________________________________________________________________________________________________________________________3__Criteria">#REF!</definedName>
    <definedName name="_55___________________________________________________________________________________________________________________________________________________________________________\MID">'[2]#REF'!#REF!</definedName>
    <definedName name="_550__________________________________________________________________________________________________________________________________________________________________F" hidden="1">[3]Sheet3!#REF!</definedName>
    <definedName name="_550______________________________________________________________________________________________________________________________________________________F" hidden="1">#REF!</definedName>
    <definedName name="_551______________________________________________________________________________________________________________________________________________________F" hidden="1">[3]Sheet3!#REF!</definedName>
    <definedName name="_551___________________________________________________________________________________________________________________________________________________G_0Extract">#REF!</definedName>
    <definedName name="_552_______________________________________________________________________________________________________________________________________________________________G_0Extract">#REF!</definedName>
    <definedName name="_552___________________________________________________________________________________________________________________________________________________G__Extr">#REF!</definedName>
    <definedName name="_552___________________________________________________________________________________________________________________________________________________G_0Extract">#REF!</definedName>
    <definedName name="_553___________________________________________________________________________________________________________________________________________________G__Extr">#REF!</definedName>
    <definedName name="_553___________________________________________________________________________________________________________________________________________________G__Extract">#REF!</definedName>
    <definedName name="_554_______________________________________________________________________________________________________________________________________________________________G__Extr">#REF!</definedName>
    <definedName name="_554______________________________________________________________________________________________________________________________________________________ME">'[2]#REF'!#REF!</definedName>
    <definedName name="_554___________________________________________________________________________________________________________________________________________________G__Extract">#REF!</definedName>
    <definedName name="_555______________________________________________________________________________________________________________________________________________________ME">'[2]#REF'!#REF!</definedName>
    <definedName name="_556_______________________________________________________________________________________________________________________________________________________________G__Extract">#REF!</definedName>
    <definedName name="_556______________________________________________________________________________________________________________________________________________________ME">'[2]#REF'!#REF!</definedName>
    <definedName name="_556______________________________________________________________________________________________________________________________________________________S" hidden="1">#REF!</definedName>
    <definedName name="_557______________________________________________________________________________________________________________________________________________________S" hidden="1">#REF!</definedName>
    <definedName name="_558__________________________________________________________________________________________________________________________________________________________________ME">'[2]#REF'!#REF!</definedName>
    <definedName name="_558______________________________________________________________________________________________________________________________________________________S" hidden="1">[3]Sheet3!#REF!</definedName>
    <definedName name="_559______________________________________________________________________________________________________________________________________________________S" hidden="1">#REF!</definedName>
    <definedName name="_559_____________________________________________________________________________________________________________________________________________________\LA">'[2]#REF'!#REF!</definedName>
    <definedName name="_56_____________________________________________________________________________________________________________________________________________________________________________S" hidden="1">#REF!</definedName>
    <definedName name="_56___________________________________________________________________________________________________________________________________________________________________________\SM">'[2]#REF'!#REF!</definedName>
    <definedName name="_560__________________________________________________________________________________________________________________________________________________________________ME">'[2]#REF'!#REF!</definedName>
    <definedName name="_560_____________________________________________________________________________________________________________________________________________________\LA">'[2]#REF'!#REF!</definedName>
    <definedName name="_560_____________________________________________________________________________________________________________________________________________________\MID">'[2]#REF'!#REF!</definedName>
    <definedName name="_561_____________________________________________________________________________________________________________________________________________________\MID">'[2]#REF'!#REF!</definedName>
    <definedName name="_561_____________________________________________________________________________________________________________________________________________________\SM">'[2]#REF'!#REF!</definedName>
    <definedName name="_562__________________________________________________________________________________________________________________________________________________________________S" hidden="1">#REF!</definedName>
    <definedName name="_562_____________________________________________________________________________________________________________________________________________________\SM">'[2]#REF'!#REF!</definedName>
    <definedName name="_562____________________________________________________________________________________________________________________________________________________0_F" hidden="1">#REF!</definedName>
    <definedName name="_563____________________________________________________________________________________________________________________________________________________0_F" hidden="1">#REF!</definedName>
    <definedName name="_563____________________________________________________________________________________________________________________________________________________0_S" hidden="1">#REF!</definedName>
    <definedName name="_564__________________________________________________________________________________________________________________________________________________________________S" hidden="1">[3]Sheet3!#REF!</definedName>
    <definedName name="_564____________________________________________________________________________________________________________________________________________________0_S" hidden="1">#REF!</definedName>
    <definedName name="_565____________________________________________________________________________________________________________________________________________________0_S" hidden="1">#REF!</definedName>
    <definedName name="_565____________________________________________________________________________________________________________________________________________________0\SM">'[4]#REF'!#REF!</definedName>
    <definedName name="_566__________________________________________________________________________________________________________________________________________________________________S" hidden="1">#REF!</definedName>
    <definedName name="_566____________________________________________________________________________________________________________________________________________________0\SM">'[4]#REF'!#REF!</definedName>
    <definedName name="_566__________________________________________________________________________________________________________________________________________________0_0__123Grap" hidden="1">[1]공문!#REF!</definedName>
    <definedName name="_567__________________________________________________________________________________________________________________________________________________0_0__123Grap" hidden="1">[1]공문!#REF!</definedName>
    <definedName name="_567__________________________________________________________________________________________________________________________________________________0_0_F" hidden="1">[3]Sheet3!#REF!</definedName>
    <definedName name="_568_________________________________________________________________________________________________________________________________________________________________\LA">'[2]#REF'!#REF!</definedName>
    <definedName name="_568__________________________________________________________________________________________________________________________________________________0_0_F" hidden="1">[3]Sheet3!#REF!</definedName>
    <definedName name="_568__________________________________________________________________________________________________________________________________________________0_0_S" hidden="1">[3]Sheet3!#REF!</definedName>
    <definedName name="_569__________________________________________________________________________________________________________________________________________________0_0_S" hidden="1">[3]Sheet3!#REF!</definedName>
    <definedName name="_569__________________________________________________________________________________________________________________________________________________3__Crite">#REF!</definedName>
    <definedName name="_57__________________________________________________________________________________________________________________________________________________________________________0_F" hidden="1">#REF!</definedName>
    <definedName name="_570_________________________________________________________________________________________________________________________________________________________________\MID">'[2]#REF'!#REF!</definedName>
    <definedName name="_570__________________________________________________________________________________________________________________________________________________3__Criteria">#REF!</definedName>
    <definedName name="_571__________________________________________________________________________________________________________________________________________________3__Crite">#REF!</definedName>
    <definedName name="_571__________________________________________________________________________________________________________________________________________________G_0Extract">#REF!</definedName>
    <definedName name="_572_________________________________________________________________________________________________________________________________________________________________\SM">'[2]#REF'!#REF!</definedName>
    <definedName name="_572__________________________________________________________________________________________________________________________________________________3__Criteria">#REF!</definedName>
    <definedName name="_572__________________________________________________________________________________________________________________________________________________G__Extr">#REF!</definedName>
    <definedName name="_573__________________________________________________________________________________________________________________________________________________G__Extract">#REF!</definedName>
    <definedName name="_574________________________________________________________________________________________________________________________________________________________________0_F" hidden="1">#REF!</definedName>
    <definedName name="_574_____________________________________________________________________________________________________________________________________________________ME">'[2]#REF'!#REF!</definedName>
    <definedName name="_575_____________________________________________________________________________________________________________________________________________________ME">'[2]#REF'!#REF!</definedName>
    <definedName name="_575__________________________________________________________________________________________________________________________________________________G_0Extract">#REF!</definedName>
    <definedName name="_576________________________________________________________________________________________________________________________________________________________________0_S" hidden="1">#REF!</definedName>
    <definedName name="_576___________________________________________________________________________________________________________________________________________________123Grap" hidden="1">[1]공문!#REF!</definedName>
    <definedName name="_576__________________________________________________________________________________________________________________________________________________G__Extr">#REF!</definedName>
    <definedName name="_577__________________________________________________________________________________________________________________________________________________F" hidden="1">#REF!</definedName>
    <definedName name="_577__________________________________________________________________________________________________________________________________________________G__Extract">#REF!</definedName>
    <definedName name="_578________________________________________________________________________________________________________________________________________________________________0_S" hidden="1">#REF!</definedName>
    <definedName name="_578_____________________________________________________________________________________________________________________________________________________ME">'[2]#REF'!#REF!</definedName>
    <definedName name="_578__________________________________________________________________________________________________________________________________________________F" hidden="1">[3]Sheet3!#REF!</definedName>
    <definedName name="_579_____________________________________________________________________________________________________________________________________________________ME">'[2]#REF'!#REF!</definedName>
    <definedName name="_579__________________________________________________________________________________________________________________________________________________S" hidden="1">#REF!</definedName>
    <definedName name="_58_____________________________________________________________________________________________________________________________________________________________________________S" hidden="1">[3]Sheet3!#REF!</definedName>
    <definedName name="_58__________________________________________________________________________________________________________________________________________________________________________0_S" hidden="1">#REF!</definedName>
    <definedName name="_580________________________________________________________________________________________________________________________________________________________________0\SM">'[4]#REF'!#REF!</definedName>
    <definedName name="_580__________________________________________________________________________________________________________________________________________________S" hidden="1">[3]Sheet3!#REF!</definedName>
    <definedName name="_581__________________________________________________________________________________________________________________________________________________S" hidden="1">#REF!</definedName>
    <definedName name="_582______________________________________________________________________________________________________________________________________________________________0_0__123Grap" hidden="1">[1]공문!#REF!</definedName>
    <definedName name="_582_________________________________________________________________________________________________________________________________________________\LA">'[2]#REF'!#REF!</definedName>
    <definedName name="_583_________________________________________________________________________________________________________________________________________________\MID">'[2]#REF'!#REF!</definedName>
    <definedName name="_584______________________________________________________________________________________________________________________________________________________________0_0_F" hidden="1">[3]Sheet3!#REF!</definedName>
    <definedName name="_584_________________________________________________________________________________________________________________________________________________\SM">'[2]#REF'!#REF!</definedName>
    <definedName name="_585________________________________________________________________________________________________________________________________________________0_F" hidden="1">#REF!</definedName>
    <definedName name="_586______________________________________________________________________________________________________________________________________________________________0_0_S" hidden="1">[3]Sheet3!#REF!</definedName>
    <definedName name="_586________________________________________________________________________________________________________________________________________________0_S" hidden="1">#REF!</definedName>
    <definedName name="_587________________________________________________________________________________________________________________________________________________0_S" hidden="1">#REF!</definedName>
    <definedName name="_588_________________________________________________________________________________________________________________________________________________________________123Grap" hidden="1">[1]공문!#REF!</definedName>
    <definedName name="_588________________________________________________________________________________________________________________________________________________0\SM">'[4]#REF'!#REF!</definedName>
    <definedName name="_589______________________________________________________________________________________________________________________________________________0_0__123Grap" hidden="1">[1]공문!#REF!</definedName>
    <definedName name="_59__________________________________________________________________________________________________________________________________________________________________________0_S" hidden="1">#REF!</definedName>
    <definedName name="_590______________________________________________________________________________________________________________________________________________________________3__Crite">#REF!</definedName>
    <definedName name="_590______________________________________________________________________________________________________________________________________________0_0_F" hidden="1">[3]Sheet3!#REF!</definedName>
    <definedName name="_591______________________________________________________________________________________________________________________________________________0_0_S" hidden="1">[3]Sheet3!#REF!</definedName>
    <definedName name="_592______________________________________________________________________________________________________________________________________________________________3__Criteria">#REF!</definedName>
    <definedName name="_592______________________________________________________________________________________________________________________________________________3__Crite">#REF!</definedName>
    <definedName name="_593______________________________________________________________________________________________________________________________________________3__Criteria">#REF!</definedName>
    <definedName name="_594_________________________________________________________________________________________________________________________________________________________________F" hidden="1">#REF!</definedName>
    <definedName name="_594______________________________________________________________________________________________________________________________________________G_0Extract">#REF!</definedName>
    <definedName name="_595______________________________________________________________________________________________________________________________________________G__Extr">#REF!</definedName>
    <definedName name="_596_________________________________________________________________________________________________________________________________________________________________F" hidden="1">[3]Sheet3!#REF!</definedName>
    <definedName name="_596______________________________________________________________________________________________________________________________________________G__Extract">#REF!</definedName>
    <definedName name="_597_________________________________________________________________________________________________________________________________________________ME">'[2]#REF'!#REF!</definedName>
    <definedName name="_598______________________________________________________________________________________________________________________________________________________________G_0Extract">#REF!</definedName>
    <definedName name="_598_________________________________________________________________________________________________________________________________________________ME">'[2]#REF'!#REF!</definedName>
    <definedName name="_599_______________________________________________________________________________________________________________________________________________123Grap" hidden="1">[1]공문!#REF!</definedName>
    <definedName name="_6______________________________________________________________________________________________________________________________________________________________________________F" hidden="1">#REF!</definedName>
    <definedName name="_6______________________________________________________________________________________________________________________________________________________________________________S" hidden="1">[3]Sheet3!#REF!</definedName>
    <definedName name="_60_____________________________________________________________________________________________________________________________________________________________________________S" hidden="1">#REF!</definedName>
    <definedName name="_60__________________________________________________________________________________________________________________________________________________________________________0\SM">'[4]#REF'!#REF!</definedName>
    <definedName name="_600______________________________________________________________________________________________________________________________________________________________G__Extr">#REF!</definedName>
    <definedName name="_600______________________________________________________________________________________________________________________________________________F" hidden="1">#REF!</definedName>
    <definedName name="_601______________________________________________________________________________________________________________________________________________F" hidden="1">[3]Sheet3!#REF!</definedName>
    <definedName name="_602______________________________________________________________________________________________________________________________________________________________G__Extract">#REF!</definedName>
    <definedName name="_602______________________________________________________________________________________________________________________________________________S" hidden="1">#REF!</definedName>
    <definedName name="_603______________________________________________________________________________________________________________________________________________S" hidden="1">[3]Sheet3!#REF!</definedName>
    <definedName name="_604_________________________________________________________________________________________________________________________________________________________________ME">'[2]#REF'!#REF!</definedName>
    <definedName name="_604______________________________________________________________________________________________________________________________________________S" hidden="1">#REF!</definedName>
    <definedName name="_605_____________________________________________________________________________________________________________________________________________\LA">'[2]#REF'!#REF!</definedName>
    <definedName name="_606_________________________________________________________________________________________________________________________________________________________________ME">'[2]#REF'!#REF!</definedName>
    <definedName name="_606_____________________________________________________________________________________________________________________________________________\MID">'[2]#REF'!#REF!</definedName>
    <definedName name="_607_____________________________________________________________________________________________________________________________________________\SM">'[2]#REF'!#REF!</definedName>
    <definedName name="_608_________________________________________________________________________________________________________________________________________________________________S" hidden="1">#REF!</definedName>
    <definedName name="_608____________________________________________________________________________________________________________________________________________0_F" hidden="1">#REF!</definedName>
    <definedName name="_609____________________________________________________________________________________________________________________________________________0_S" hidden="1">#REF!</definedName>
    <definedName name="_61________________________________________________________________________________________________________________________________________________________________________0_0__123Grap" hidden="1">[1]공문!#REF!</definedName>
    <definedName name="_610_________________________________________________________________________________________________________________________________________________________________S" hidden="1">[3]Sheet3!#REF!</definedName>
    <definedName name="_610____________________________________________________________________________________________________________________________________________0_S" hidden="1">#REF!</definedName>
    <definedName name="_611____________________________________________________________________________________________________________________________________________0\SM">'[4]#REF'!#REF!</definedName>
    <definedName name="_612_________________________________________________________________________________________________________________________________________________________________S" hidden="1">#REF!</definedName>
    <definedName name="_612__________________________________________________________________________________________________________________________________________0_0__123Grap" hidden="1">[1]공문!#REF!</definedName>
    <definedName name="_613__________________________________________________________________________________________________________________________________________0_0_F" hidden="1">[3]Sheet3!#REF!</definedName>
    <definedName name="_614________________________________________________________________________________________________________________________________________________________________\LA">'[2]#REF'!#REF!</definedName>
    <definedName name="_614__________________________________________________________________________________________________________________________________________0_0_S" hidden="1">[3]Sheet3!#REF!</definedName>
    <definedName name="_615__________________________________________________________________________________________________________________________________________3__Crite">#REF!</definedName>
    <definedName name="_616________________________________________________________________________________________________________________________________________________________________\MID">'[2]#REF'!#REF!</definedName>
    <definedName name="_616___________________________________________________________________________________________________________________________________________________123Grap" hidden="1">[1]공문!#REF!</definedName>
    <definedName name="_616__________________________________________________________________________________________________________________________________________3__Criteria">#REF!</definedName>
    <definedName name="_617__________________________________________________________________________________________________________________________________________G_0Extract">#REF!</definedName>
    <definedName name="_618________________________________________________________________________________________________________________________________________________________________\SM">'[2]#REF'!#REF!</definedName>
    <definedName name="_618__________________________________________________________________________________________________________________________________________G__Extr">#REF!</definedName>
    <definedName name="_619__________________________________________________________________________________________________________________________________________G__Extract">#REF!</definedName>
    <definedName name="_62____________________________________________________________________________________________________________________________________________________________________________\LA">'[2]#REF'!#REF!</definedName>
    <definedName name="_62________________________________________________________________________________________________________________________________________________________________________0_0_F" hidden="1">[3]Sheet3!#REF!</definedName>
    <definedName name="_620_______________________________________________________________________________________________________________________________________________________________0_F" hidden="1">#REF!</definedName>
    <definedName name="_620_____________________________________________________________________________________________________________________________________________ME">'[2]#REF'!#REF!</definedName>
    <definedName name="_621_____________________________________________________________________________________________________________________________________________ME">'[2]#REF'!#REF!</definedName>
    <definedName name="_622_______________________________________________________________________________________________________________________________________________________________0_S" hidden="1">#REF!</definedName>
    <definedName name="_622___________________________________________________________________________________________________________________________________________123Grap" hidden="1">[1]공문!#REF!</definedName>
    <definedName name="_623__________________________________________________________________________________________________________________________________________F" hidden="1">#REF!</definedName>
    <definedName name="_624_______________________________________________________________________________________________________________________________________________________________0_S" hidden="1">#REF!</definedName>
    <definedName name="_624__________________________________________________________________________________________________________________________________________F" hidden="1">[3]Sheet3!#REF!</definedName>
    <definedName name="_625__________________________________________________________________________________________________________________________________________S" hidden="1">#REF!</definedName>
    <definedName name="_626_______________________________________________________________________________________________________________________________________________________________0\SM">'[4]#REF'!#REF!</definedName>
    <definedName name="_626__________________________________________________________________________________________________________________________________________S" hidden="1">[3]Sheet3!#REF!</definedName>
    <definedName name="_627__________________________________________________________________________________________________________________________________________S" hidden="1">#REF!</definedName>
    <definedName name="_628_____________________________________________________________________________________________________________________________________________________________0_0__123Grap" hidden="1">[1]공문!#REF!</definedName>
    <definedName name="_628_________________________________________________________________________________________________________________________________________\LA">'[2]#REF'!#REF!</definedName>
    <definedName name="_629_________________________________________________________________________________________________________________________________________\MID">'[2]#REF'!#REF!</definedName>
    <definedName name="_63________________________________________________________________________________________________________________________________________________________________________0_0_S" hidden="1">[3]Sheet3!#REF!</definedName>
    <definedName name="_630_____________________________________________________________________________________________________________________________________________________________0_0_F" hidden="1">[3]Sheet3!#REF!</definedName>
    <definedName name="_630_________________________________________________________________________________________________________________________________________\SM">'[2]#REF'!#REF!</definedName>
    <definedName name="_631________________________________________________________________________________________________________________________________________0_F" hidden="1">#REF!</definedName>
    <definedName name="_632_____________________________________________________________________________________________________________________________________________________________0_0_S" hidden="1">[3]Sheet3!#REF!</definedName>
    <definedName name="_632________________________________________________________________________________________________________________________________________0_S" hidden="1">#REF!</definedName>
    <definedName name="_633________________________________________________________________________________________________________________________________________0_S" hidden="1">#REF!</definedName>
    <definedName name="_634________________________________________________________________________________________________________________________________________________________________123Grap" hidden="1">[1]공문!#REF!</definedName>
    <definedName name="_634________________________________________________________________________________________________________________________________________0\SM">'[4]#REF'!#REF!</definedName>
    <definedName name="_635______________________________________________________________________________________________________________________________________0_0__123Grap" hidden="1">[1]공문!#REF!</definedName>
    <definedName name="_636_____________________________________________________________________________________________________________________________________________________________3__Crite">#REF!</definedName>
    <definedName name="_636______________________________________________________________________________________________________________________________________0_0_F" hidden="1">[3]Sheet3!#REF!</definedName>
    <definedName name="_637______________________________________________________________________________________________________________________________________0_0_S" hidden="1">[3]Sheet3!#REF!</definedName>
    <definedName name="_638_____________________________________________________________________________________________________________________________________________________________3__Criteria">#REF!</definedName>
    <definedName name="_638______________________________________________________________________________________________________________________________________3__Crite">#REF!</definedName>
    <definedName name="_639______________________________________________________________________________________________________________________________________3__Criteria">#REF!</definedName>
    <definedName name="_64____________________________________________________________________________________________________________________________________________________________________________\MID">'[2]#REF'!#REF!</definedName>
    <definedName name="_64___________________________________________________________________________________________________________________________________________________________________________123Grap" hidden="1">[1]공문!#REF!</definedName>
    <definedName name="_640________________________________________________________________________________________________________________________________________________________________F" hidden="1">#REF!</definedName>
    <definedName name="_640______________________________________________________________________________________________________________________________________G_0Extract">#REF!</definedName>
    <definedName name="_641______________________________________________________________________________________________________________________________________G__Extr">#REF!</definedName>
    <definedName name="_642________________________________________________________________________________________________________________________________________________________________F" hidden="1">[3]Sheet3!#REF!</definedName>
    <definedName name="_642__________________________________________________________________________________________________________________________________________________F" hidden="1">#REF!</definedName>
    <definedName name="_642______________________________________________________________________________________________________________________________________G__Extract">#REF!</definedName>
    <definedName name="_643__________________________________________________________________________________________________________________________________________________F" hidden="1">[3]Sheet3!#REF!</definedName>
    <definedName name="_643_________________________________________________________________________________________________________________________________________ME">'[2]#REF'!#REF!</definedName>
    <definedName name="_644_____________________________________________________________________________________________________________________________________________________________G_0Extract">#REF!</definedName>
    <definedName name="_644_________________________________________________________________________________________________________________________________________ME">'[2]#REF'!#REF!</definedName>
    <definedName name="_645_______________________________________________________________________________________________________________________________________123Grap" hidden="1">[1]공문!#REF!</definedName>
    <definedName name="_646_____________________________________________________________________________________________________________________________________________________________G__Extr">#REF!</definedName>
    <definedName name="_646______________________________________________________________________________________________________________________________________F" hidden="1">#REF!</definedName>
    <definedName name="_647______________________________________________________________________________________________________________________________________F" hidden="1">[3]Sheet3!#REF!</definedName>
    <definedName name="_648_____________________________________________________________________________________________________________________________________________________________G__Extract">#REF!</definedName>
    <definedName name="_648______________________________________________________________________________________________________________________________________S" hidden="1">#REF!</definedName>
    <definedName name="_649__________________________________________________________________________________________________________________________________________________S" hidden="1">#REF!</definedName>
    <definedName name="_649______________________________________________________________________________________________________________________________________S" hidden="1">[3]Sheet3!#REF!</definedName>
    <definedName name="_65________________________________________________________________________________________________________________________________________________________________________3__Crite">#REF!</definedName>
    <definedName name="_650________________________________________________________________________________________________________________________________________________________________ME">'[2]#REF'!#REF!</definedName>
    <definedName name="_650__________________________________________________________________________________________________________________________________________________S" hidden="1">[3]Sheet3!#REF!</definedName>
    <definedName name="_650______________________________________________________________________________________________________________________________________S" hidden="1">#REF!</definedName>
    <definedName name="_651__________________________________________________________________________________________________________________________________________________S" hidden="1">#REF!</definedName>
    <definedName name="_651_____________________________________________________________________________________________________________________________________\LA">'[2]#REF'!#REF!</definedName>
    <definedName name="_652________________________________________________________________________________________________________________________________________________________________ME">'[2]#REF'!#REF!</definedName>
    <definedName name="_652_________________________________________________________________________________________________________________________________________________\LA">'[2]#REF'!#REF!</definedName>
    <definedName name="_652_____________________________________________________________________________________________________________________________________\MID">'[2]#REF'!#REF!</definedName>
    <definedName name="_653_________________________________________________________________________________________________________________________________________________\MID">'[2]#REF'!#REF!</definedName>
    <definedName name="_653_____________________________________________________________________________________________________________________________________\SM">'[2]#REF'!#REF!</definedName>
    <definedName name="_654________________________________________________________________________________________________________________________________________________________________S" hidden="1">#REF!</definedName>
    <definedName name="_654_________________________________________________________________________________________________________________________________________________\SM">'[2]#REF'!#REF!</definedName>
    <definedName name="_654____________________________________________________________________________________________________________________________________0_F" hidden="1">#REF!</definedName>
    <definedName name="_655________________________________________________________________________________________________________________________________________________0_F" hidden="1">#REF!</definedName>
    <definedName name="_655____________________________________________________________________________________________________________________________________0_S" hidden="1">#REF!</definedName>
    <definedName name="_656________________________________________________________________________________________________________________________________________________________________S" hidden="1">[3]Sheet3!#REF!</definedName>
    <definedName name="_656________________________________________________________________________________________________________________________________________________0_S" hidden="1">#REF!</definedName>
    <definedName name="_656____________________________________________________________________________________________________________________________________0_S" hidden="1">#REF!</definedName>
    <definedName name="_657________________________________________________________________________________________________________________________________________________0_S" hidden="1">#REF!</definedName>
    <definedName name="_657____________________________________________________________________________________________________________________________________0\SM">'[4]#REF'!#REF!</definedName>
    <definedName name="_658________________________________________________________________________________________________________________________________________________________________S" hidden="1">#REF!</definedName>
    <definedName name="_658________________________________________________________________________________________________________________________________________________0\SM">'[4]#REF'!#REF!</definedName>
    <definedName name="_658__________________________________________________________________________________________________________________________________0_0__123Grap" hidden="1">[1]공문!#REF!</definedName>
    <definedName name="_659______________________________________________________________________________________________________________________________________________0_0__123Grap" hidden="1">[1]공문!#REF!</definedName>
    <definedName name="_659__________________________________________________________________________________________________________________________________0_0_F" hidden="1">[3]Sheet3!#REF!</definedName>
    <definedName name="_66____________________________________________________________________________________________________________________________________________________________________________\SM">'[2]#REF'!#REF!</definedName>
    <definedName name="_66________________________________________________________________________________________________________________________________________________________________________3__Criteria">#REF!</definedName>
    <definedName name="_660_______________________________________________________________________________________________________________________________________________________________\LA">'[2]#REF'!#REF!</definedName>
    <definedName name="_660______________________________________________________________________________________________________________________________________________0_0_F" hidden="1">[3]Sheet3!#REF!</definedName>
    <definedName name="_660__________________________________________________________________________________________________________________________________0_0_S" hidden="1">[3]Sheet3!#REF!</definedName>
    <definedName name="_661______________________________________________________________________________________________________________________________________________0_0_S" hidden="1">[3]Sheet3!#REF!</definedName>
    <definedName name="_661__________________________________________________________________________________________________________________________________3__Crite">#REF!</definedName>
    <definedName name="_662_______________________________________________________________________________________________________________________________________________________________\MID">'[2]#REF'!#REF!</definedName>
    <definedName name="_662__________________________________________________________________________________________________________________________________3__Criteria">#REF!</definedName>
    <definedName name="_663______________________________________________________________________________________________________________________________________________3__Crite">#REF!</definedName>
    <definedName name="_663__________________________________________________________________________________________________________________________________G_0Extract">#REF!</definedName>
    <definedName name="_664_______________________________________________________________________________________________________________________________________________________________\SM">'[2]#REF'!#REF!</definedName>
    <definedName name="_664______________________________________________________________________________________________________________________________________________3__Criteria">#REF!</definedName>
    <definedName name="_664__________________________________________________________________________________________________________________________________G__Extr">#REF!</definedName>
    <definedName name="_665__________________________________________________________________________________________________________________________________G__Extract">#REF!</definedName>
    <definedName name="_666______________________________________________________________________________________________________________________________________________________________0_F" hidden="1">#REF!</definedName>
    <definedName name="_666_____________________________________________________________________________________________________________________________________ME">'[2]#REF'!#REF!</definedName>
    <definedName name="_667______________________________________________________________________________________________________________________________________________G_0Extract">#REF!</definedName>
    <definedName name="_667_____________________________________________________________________________________________________________________________________ME">'[2]#REF'!#REF!</definedName>
    <definedName name="_668______________________________________________________________________________________________________________________________________________________________0_S" hidden="1">#REF!</definedName>
    <definedName name="_668______________________________________________________________________________________________________________________________________________G__Extr">#REF!</definedName>
    <definedName name="_668___________________________________________________________________________________________________________________________________123Grap" hidden="1">[1]공문!#REF!</definedName>
    <definedName name="_669______________________________________________________________________________________________________________________________________________G__Extract">#REF!</definedName>
    <definedName name="_669__________________________________________________________________________________________________________________________________F" hidden="1">#REF!</definedName>
    <definedName name="_67___________________________________________________________________________________________________________________________________________________________________________F" hidden="1">#REF!</definedName>
    <definedName name="_670______________________________________________________________________________________________________________________________________________________________0_S" hidden="1">#REF!</definedName>
    <definedName name="_670_________________________________________________________________________________________________________________________________________________ME">'[2]#REF'!#REF!</definedName>
    <definedName name="_670__________________________________________________________________________________________________________________________________F" hidden="1">[3]Sheet3!#REF!</definedName>
    <definedName name="_671_________________________________________________________________________________________________________________________________________________ME">'[2]#REF'!#REF!</definedName>
    <definedName name="_671__________________________________________________________________________________________________________________________________S" hidden="1">#REF!</definedName>
    <definedName name="_672______________________________________________________________________________________________________________________________________________________________0\SM">'[4]#REF'!#REF!</definedName>
    <definedName name="_672__________________________________________________________________________________________________________________________________S" hidden="1">[3]Sheet3!#REF!</definedName>
    <definedName name="_673__________________________________________________________________________________________________________________________________S" hidden="1">#REF!</definedName>
    <definedName name="_674____________________________________________________________________________________________________________________________________________________________0_0__123Grap" hidden="1">[1]공문!#REF!</definedName>
    <definedName name="_674_________________________________________________________________________________________________________________________________\LA">'[2]#REF'!#REF!</definedName>
    <definedName name="_675_________________________________________________________________________________________________________________________________\MID">'[2]#REF'!#REF!</definedName>
    <definedName name="_676____________________________________________________________________________________________________________________________________________________________0_0_F" hidden="1">[3]Sheet3!#REF!</definedName>
    <definedName name="_676_________________________________________________________________________________________________________________________________\SM">'[2]#REF'!#REF!</definedName>
    <definedName name="_677________________________________________________________________________________________________________________________________0_F" hidden="1">#REF!</definedName>
    <definedName name="_678____________________________________________________________________________________________________________________________________________________________0_0_S" hidden="1">[3]Sheet3!#REF!</definedName>
    <definedName name="_678________________________________________________________________________________________________________________________________0_S" hidden="1">#REF!</definedName>
    <definedName name="_679________________________________________________________________________________________________________________________________0_S" hidden="1">#REF!</definedName>
    <definedName name="_68___________________________________________________________________________________________________________________________________________________________________________0_F" hidden="1">#REF!</definedName>
    <definedName name="_68___________________________________________________________________________________________________________________________________________________________________________F" hidden="1">[3]Sheet3!#REF!</definedName>
    <definedName name="_680_______________________________________________________________________________________________________________________________________________________________123Grap" hidden="1">[1]공문!#REF!</definedName>
    <definedName name="_680________________________________________________________________________________________________________________________________0\SM">'[4]#REF'!#REF!</definedName>
    <definedName name="_681______________________________________________________________________________________________________________________________0_0__123Grap" hidden="1">[1]공문!#REF!</definedName>
    <definedName name="_682____________________________________________________________________________________________________________________________________________________________3__Crite">#REF!</definedName>
    <definedName name="_682______________________________________________________________________________________________________________________________0_0_F" hidden="1">[3]Sheet3!#REF!</definedName>
    <definedName name="_683______________________________________________________________________________________________________________________________0_0_S" hidden="1">[3]Sheet3!#REF!</definedName>
    <definedName name="_684____________________________________________________________________________________________________________________________________________________________3__Criteria">#REF!</definedName>
    <definedName name="_684______________________________________________________________________________________________________________________________3__Crite">#REF!</definedName>
    <definedName name="_685______________________________________________________________________________________________________________________________3__Criteria">#REF!</definedName>
    <definedName name="_686_______________________________________________________________________________________________________________________________________________________________F" hidden="1">#REF!</definedName>
    <definedName name="_686______________________________________________________________________________________________________________________________G_0Extract">#REF!</definedName>
    <definedName name="_687______________________________________________________________________________________________________________________________G__Extr">#REF!</definedName>
    <definedName name="_688_______________________________________________________________________________________________________________________________________________________________F" hidden="1">[3]Sheet3!#REF!</definedName>
    <definedName name="_688______________________________________________________________________________________________________________________________G__Extract">#REF!</definedName>
    <definedName name="_689_________________________________________________________________________________________________________________________________ME">'[2]#REF'!#REF!</definedName>
    <definedName name="_69________________________________________________________________________________________________________________________________________________________________________G_0Extract">#REF!</definedName>
    <definedName name="_690____________________________________________________________________________________________________________________________________________________________G_0Extract">#REF!</definedName>
    <definedName name="_690_________________________________________________________________________________________________________________________________ME">'[2]#REF'!#REF!</definedName>
    <definedName name="_691_______________________________________________________________________________________________________________________________123Grap" hidden="1">[1]공문!#REF!</definedName>
    <definedName name="_692____________________________________________________________________________________________________________________________________________________________G__Extr">#REF!</definedName>
    <definedName name="_692______________________________________________________________________________________________________________________________F" hidden="1">#REF!</definedName>
    <definedName name="_693______________________________________________________________________________________________________________________________F" hidden="1">[3]Sheet3!#REF!</definedName>
    <definedName name="_694____________________________________________________________________________________________________________________________________________________________G__Extract">#REF!</definedName>
    <definedName name="_694______________________________________________________________________________________________________________________________S" hidden="1">#REF!</definedName>
    <definedName name="_695______________________________________________________________________________________________________________________________S" hidden="1">[3]Sheet3!#REF!</definedName>
    <definedName name="_696_______________________________________________________________________________________________________________________________________________________________ME">'[2]#REF'!#REF!</definedName>
    <definedName name="_696______________________________________________________________________________________________________________________________S" hidden="1">#REF!</definedName>
    <definedName name="_697_____________________________________________________________________________________________________________________________\LA">'[2]#REF'!#REF!</definedName>
    <definedName name="_698_______________________________________________________________________________________________________________________________________________________________ME">'[2]#REF'!#REF!</definedName>
    <definedName name="_698_____________________________________________________________________________________________________________________________\MID">'[2]#REF'!#REF!</definedName>
    <definedName name="_699_____________________________________________________________________________________________________________________________\SM">'[2]#REF'!#REF!</definedName>
    <definedName name="_7______________________________________________________________________________________________________________________________________________________________________________S" hidden="1">#REF!</definedName>
    <definedName name="_70___________________________________________________________________________________________________________________________________________________________________________0_S" hidden="1">#REF!</definedName>
    <definedName name="_70________________________________________________________________________________________________________________________________________________________________________G__Extr">#REF!</definedName>
    <definedName name="_700_______________________________________________________________________________________________________________________________________________________________S" hidden="1">#REF!</definedName>
    <definedName name="_700____________________________________________________________________________________________________________________________0_F" hidden="1">#REF!</definedName>
    <definedName name="_701____________________________________________________________________________________________________________________________0_S" hidden="1">#REF!</definedName>
    <definedName name="_702_______________________________________________________________________________________________________________________________________________________________S" hidden="1">[3]Sheet3!#REF!</definedName>
    <definedName name="_702____________________________________________________________________________________________________________________________0_S" hidden="1">#REF!</definedName>
    <definedName name="_703____________________________________________________________________________________________________________________________0\SM">'[4]#REF'!#REF!</definedName>
    <definedName name="_704_______________________________________________________________________________________________________________________________________________________________S" hidden="1">#REF!</definedName>
    <definedName name="_704__________________________________________________________________________________________________________________________0_0__123Grap" hidden="1">[1]공문!#REF!</definedName>
    <definedName name="_705__________________________________________________________________________________________________________________________0_0_F" hidden="1">[3]Sheet3!#REF!</definedName>
    <definedName name="_706______________________________________________________________________________________________________________________________________________________________\LA">'[2]#REF'!#REF!</definedName>
    <definedName name="_706__________________________________________________________________________________________________________________________0_0_S" hidden="1">[3]Sheet3!#REF!</definedName>
    <definedName name="_707__________________________________________________________________________________________________________________________3__Crite">#REF!</definedName>
    <definedName name="_708______________________________________________________________________________________________________________________________________________________________\MID">'[2]#REF'!#REF!</definedName>
    <definedName name="_708_______________________________________________________________________________________________________________________________________________123Grap" hidden="1">[1]공문!#REF!</definedName>
    <definedName name="_708__________________________________________________________________________________________________________________________3__Criteria">#REF!</definedName>
    <definedName name="_709__________________________________________________________________________________________________________________________G_0Extract">#REF!</definedName>
    <definedName name="_71________________________________________________________________________________________________________________________________________________________________________G__Extract">#REF!</definedName>
    <definedName name="_710______________________________________________________________________________________________________________________________________________________________\SM">'[2]#REF'!#REF!</definedName>
    <definedName name="_710__________________________________________________________________________________________________________________________G__Extr">#REF!</definedName>
    <definedName name="_711__________________________________________________________________________________________________________________________G__Extract">#REF!</definedName>
    <definedName name="_712_____________________________________________________________________________________________________________________________________________________________0_F" hidden="1">#REF!</definedName>
    <definedName name="_712_____________________________________________________________________________________________________________________________ME">'[2]#REF'!#REF!</definedName>
    <definedName name="_713_____________________________________________________________________________________________________________________________ME">'[2]#REF'!#REF!</definedName>
    <definedName name="_714_____________________________________________________________________________________________________________________________________________________________0_S" hidden="1">#REF!</definedName>
    <definedName name="_714___________________________________________________________________________________________________________________________123Grap" hidden="1">[1]공문!#REF!</definedName>
    <definedName name="_715__________________________________________________________________________________________________________________________F" hidden="1">#REF!</definedName>
    <definedName name="_716_____________________________________________________________________________________________________________________________________________________________0_S" hidden="1">#REF!</definedName>
    <definedName name="_716__________________________________________________________________________________________________________________________F" hidden="1">[3]Sheet3!#REF!</definedName>
    <definedName name="_717__________________________________________________________________________________________________________________________S" hidden="1">#REF!</definedName>
    <definedName name="_718_____________________________________________________________________________________________________________________________________________________________0\SM">'[4]#REF'!#REF!</definedName>
    <definedName name="_718__________________________________________________________________________________________________________________________S" hidden="1">[3]Sheet3!#REF!</definedName>
    <definedName name="_719__________________________________________________________________________________________________________________________S" hidden="1">#REF!</definedName>
    <definedName name="_72___________________________________________________________________________________________________________________________________________________________________________0_S" hidden="1">#REF!</definedName>
    <definedName name="_72___________________________________________________________________________________________________________________________________________________________________________ME">'[2]#REF'!#REF!</definedName>
    <definedName name="_720___________________________________________________________________________________________________________________________________________________________0_0__123Grap" hidden="1">[1]공문!#REF!</definedName>
    <definedName name="_720_________________________________________________________________________________________________________________________\LA">'[2]#REF'!#REF!</definedName>
    <definedName name="_721_________________________________________________________________________________________________________________________\MID">'[2]#REF'!#REF!</definedName>
    <definedName name="_722___________________________________________________________________________________________________________________________________________________________0_0_F" hidden="1">[3]Sheet3!#REF!</definedName>
    <definedName name="_722_________________________________________________________________________________________________________________________\SM">'[2]#REF'!#REF!</definedName>
    <definedName name="_723________________________________________________________________________________________________________________________0_F" hidden="1">#REF!</definedName>
    <definedName name="_724___________________________________________________________________________________________________________________________________________________________0_0_S" hidden="1">[3]Sheet3!#REF!</definedName>
    <definedName name="_724________________________________________________________________________________________________________________________0_S" hidden="1">#REF!</definedName>
    <definedName name="_725________________________________________________________________________________________________________________________0_S" hidden="1">#REF!</definedName>
    <definedName name="_726______________________________________________________________________________________________________________________________________________________________123Grap" hidden="1">[1]공문!#REF!</definedName>
    <definedName name="_726________________________________________________________________________________________________________________________0\SM">'[4]#REF'!#REF!</definedName>
    <definedName name="_727______________________________________________________________________________________________________________________0_0__123Grap" hidden="1">[1]공문!#REF!</definedName>
    <definedName name="_728___________________________________________________________________________________________________________________________________________________________3__Crite">#REF!</definedName>
    <definedName name="_728______________________________________________________________________________________________________________________0_0_F" hidden="1">[3]Sheet3!#REF!</definedName>
    <definedName name="_729______________________________________________________________________________________________________________________0_0_S" hidden="1">[3]Sheet3!#REF!</definedName>
    <definedName name="_73___________________________________________________________________________________________________________________________________________________________________________ME">'[2]#REF'!#REF!</definedName>
    <definedName name="_730___________________________________________________________________________________________________________________________________________________________3__Criteria">#REF!</definedName>
    <definedName name="_730______________________________________________________________________________________________________________________3__Crite">#REF!</definedName>
    <definedName name="_731______________________________________________________________________________________________________________________3__Criteria">#REF!</definedName>
    <definedName name="_732______________________________________________________________________________________________________________________________________________________________F" hidden="1">#REF!</definedName>
    <definedName name="_732______________________________________________________________________________________________________________________G_0Extract">#REF!</definedName>
    <definedName name="_733______________________________________________________________________________________________________________________G__Extr">#REF!</definedName>
    <definedName name="_734______________________________________________________________________________________________________________________________________________________________F" hidden="1">[3]Sheet3!#REF!</definedName>
    <definedName name="_734______________________________________________________________________________________________________________________________________________F" hidden="1">#REF!</definedName>
    <definedName name="_734______________________________________________________________________________________________________________________G__Extract">#REF!</definedName>
    <definedName name="_735______________________________________________________________________________________________________________________________________________F" hidden="1">[3]Sheet3!#REF!</definedName>
    <definedName name="_735_________________________________________________________________________________________________________________________ME">'[2]#REF'!#REF!</definedName>
    <definedName name="_736___________________________________________________________________________________________________________________________________________________________G_0Extract">#REF!</definedName>
    <definedName name="_736_________________________________________________________________________________________________________________________ME">'[2]#REF'!#REF!</definedName>
    <definedName name="_737_______________________________________________________________________________________________________________________123Grap" hidden="1">[1]공문!#REF!</definedName>
    <definedName name="_738___________________________________________________________________________________________________________________________________________________________G__Extr">#REF!</definedName>
    <definedName name="_738______________________________________________________________________________________________________________________F" hidden="1">#REF!</definedName>
    <definedName name="_739______________________________________________________________________________________________________________________F" hidden="1">[3]Sheet3!#REF!</definedName>
    <definedName name="_74___________________________________________________________________________________________________________________________________________________________________________0\SM">'[4]#REF'!#REF!</definedName>
    <definedName name="_74___________________________________________________________________________________________________________________________________________________________________________S" hidden="1">#REF!</definedName>
    <definedName name="_740___________________________________________________________________________________________________________________________________________________________G__Extract">#REF!</definedName>
    <definedName name="_740______________________________________________________________________________________________________________________S" hidden="1">#REF!</definedName>
    <definedName name="_741______________________________________________________________________________________________________________________________________________S" hidden="1">#REF!</definedName>
    <definedName name="_741______________________________________________________________________________________________________________________S" hidden="1">[3]Sheet3!#REF!</definedName>
    <definedName name="_742______________________________________________________________________________________________________________________________________________________________ME">'[2]#REF'!#REF!</definedName>
    <definedName name="_742______________________________________________________________________________________________________________________________________________S" hidden="1">[3]Sheet3!#REF!</definedName>
    <definedName name="_742______________________________________________________________________________________________________________________S" hidden="1">#REF!</definedName>
    <definedName name="_743______________________________________________________________________________________________________________________________________________S" hidden="1">#REF!</definedName>
    <definedName name="_743_____________________________________________________________________________________________________________________\LA">'[2]#REF'!#REF!</definedName>
    <definedName name="_744______________________________________________________________________________________________________________________________________________________________ME">'[2]#REF'!#REF!</definedName>
    <definedName name="_744_____________________________________________________________________________________________________________________________________________\LA">'[2]#REF'!#REF!</definedName>
    <definedName name="_744_____________________________________________________________________________________________________________________\MID">'[2]#REF'!#REF!</definedName>
    <definedName name="_745_____________________________________________________________________________________________________________________________________________\MID">'[2]#REF'!#REF!</definedName>
    <definedName name="_745_____________________________________________________________________________________________________________________\SM">'[2]#REF'!#REF!</definedName>
    <definedName name="_746______________________________________________________________________________________________________________________________________________________________S" hidden="1">#REF!</definedName>
    <definedName name="_746_____________________________________________________________________________________________________________________________________________\SM">'[2]#REF'!#REF!</definedName>
    <definedName name="_746____________________________________________________________________________________________________________________0_F" hidden="1">#REF!</definedName>
    <definedName name="_747____________________________________________________________________________________________________________________________________________0_F" hidden="1">#REF!</definedName>
    <definedName name="_747____________________________________________________________________________________________________________________0_S" hidden="1">#REF!</definedName>
    <definedName name="_748______________________________________________________________________________________________________________________________________________________________S" hidden="1">[3]Sheet3!#REF!</definedName>
    <definedName name="_748____________________________________________________________________________________________________________________________________________0_S" hidden="1">#REF!</definedName>
    <definedName name="_748____________________________________________________________________________________________________________________0_S" hidden="1">#REF!</definedName>
    <definedName name="_749____________________________________________________________________________________________________________________________________________0_S" hidden="1">#REF!</definedName>
    <definedName name="_749____________________________________________________________________________________________________________________0\SM">'[4]#REF'!#REF!</definedName>
    <definedName name="_75___________________________________________________________________________________________________________________________________________________________________________S" hidden="1">[3]Sheet3!#REF!</definedName>
    <definedName name="_750______________________________________________________________________________________________________________________________________________________________S" hidden="1">#REF!</definedName>
    <definedName name="_750____________________________________________________________________________________________________________________________________________0\SM">'[4]#REF'!#REF!</definedName>
    <definedName name="_750__________________________________________________________________________________________________________________0_0__123Grap" hidden="1">[1]공문!#REF!</definedName>
    <definedName name="_751__________________________________________________________________________________________________________________________________________0_0__123Grap" hidden="1">[1]공문!#REF!</definedName>
    <definedName name="_751__________________________________________________________________________________________________________________0_0_F" hidden="1">[3]Sheet3!#REF!</definedName>
    <definedName name="_752_____________________________________________________________________________________________________________________________________________________________\LA">'[2]#REF'!#REF!</definedName>
    <definedName name="_752__________________________________________________________________________________________________________________________________________0_0_F" hidden="1">[3]Sheet3!#REF!</definedName>
    <definedName name="_752__________________________________________________________________________________________________________________0_0_S" hidden="1">[3]Sheet3!#REF!</definedName>
    <definedName name="_753__________________________________________________________________________________________________________________________________________0_0_S" hidden="1">[3]Sheet3!#REF!</definedName>
    <definedName name="_753__________________________________________________________________________________________________________________3__Crite">#REF!</definedName>
    <definedName name="_754_____________________________________________________________________________________________________________________________________________________________\MID">'[2]#REF'!#REF!</definedName>
    <definedName name="_754__________________________________________________________________________________________________________________3__Criteria">#REF!</definedName>
    <definedName name="_755__________________________________________________________________________________________________________________________________________3__Crite">#REF!</definedName>
    <definedName name="_755__________________________________________________________________________________________________________________G_0Extract">#REF!</definedName>
    <definedName name="_756_____________________________________________________________________________________________________________________________________________________________\SM">'[2]#REF'!#REF!</definedName>
    <definedName name="_756__________________________________________________________________________________________________________________________________________3__Criteria">#REF!</definedName>
    <definedName name="_756__________________________________________________________________________________________________________________G__Extr">#REF!</definedName>
    <definedName name="_757__________________________________________________________________________________________________________________G__Extract">#REF!</definedName>
    <definedName name="_758____________________________________________________________________________________________________________________________________________________________0_F" hidden="1">#REF!</definedName>
    <definedName name="_758_____________________________________________________________________________________________________________________ME">'[2]#REF'!#REF!</definedName>
    <definedName name="_759__________________________________________________________________________________________________________________________________________G_0Extract">#REF!</definedName>
    <definedName name="_759_____________________________________________________________________________________________________________________ME">'[2]#REF'!#REF!</definedName>
    <definedName name="_76___________________________________________________________________________________________________________________________________________________________________________S" hidden="1">#REF!</definedName>
    <definedName name="_76_________________________________________________________________________________________________________________________________________________________________________0_0__123Grap" hidden="1">[1]공문!#REF!</definedName>
    <definedName name="_760____________________________________________________________________________________________________________________________________________________________0_S" hidden="1">#REF!</definedName>
    <definedName name="_760__________________________________________________________________________________________________________________________________________G__Extr">#REF!</definedName>
    <definedName name="_760___________________________________________________________________________________________________________________123Grap" hidden="1">[1]공문!#REF!</definedName>
    <definedName name="_761__________________________________________________________________________________________________________________________________________G__Extract">#REF!</definedName>
    <definedName name="_761__________________________________________________________________________________________________________________F" hidden="1">#REF!</definedName>
    <definedName name="_762____________________________________________________________________________________________________________________________________________________________0_S" hidden="1">#REF!</definedName>
    <definedName name="_762_____________________________________________________________________________________________________________________________________________ME">'[2]#REF'!#REF!</definedName>
    <definedName name="_762__________________________________________________________________________________________________________________F" hidden="1">[3]Sheet3!#REF!</definedName>
    <definedName name="_763_____________________________________________________________________________________________________________________________________________ME">'[2]#REF'!#REF!</definedName>
    <definedName name="_763__________________________________________________________________________________________________________________S" hidden="1">#REF!</definedName>
    <definedName name="_764____________________________________________________________________________________________________________________________________________________________0\SM">'[4]#REF'!#REF!</definedName>
    <definedName name="_764__________________________________________________________________________________________________________________S" hidden="1">[3]Sheet3!#REF!</definedName>
    <definedName name="_765__________________________________________________________________________________________________________________S" hidden="1">#REF!</definedName>
    <definedName name="_766__________________________________________________________________________________________________________________________________________________________0_0__123Grap" hidden="1">[1]공문!#REF!</definedName>
    <definedName name="_766_________________________________________________________________________________________________________________\LA">'[2]#REF'!#REF!</definedName>
    <definedName name="_767_________________________________________________________________________________________________________________\MID">'[2]#REF'!#REF!</definedName>
    <definedName name="_768__________________________________________________________________________________________________________________________________________________________0_0_F" hidden="1">[3]Sheet3!#REF!</definedName>
    <definedName name="_768_________________________________________________________________________________________________________________\SM">'[2]#REF'!#REF!</definedName>
    <definedName name="_769________________________________________________________________________________________________________________0_F" hidden="1">#REF!</definedName>
    <definedName name="_77__________________________________________________________________________________________________________________________________________________________________________\LA">'[2]#REF'!#REF!</definedName>
    <definedName name="_770__________________________________________________________________________________________________________________________________________________________0_0_S" hidden="1">[3]Sheet3!#REF!</definedName>
    <definedName name="_770________________________________________________________________________________________________________________0_S" hidden="1">#REF!</definedName>
    <definedName name="_771________________________________________________________________________________________________________________0_S" hidden="1">#REF!</definedName>
    <definedName name="_772_____________________________________________________________________________________________________________________________________________________________123Grap" hidden="1">[1]공문!#REF!</definedName>
    <definedName name="_772________________________________________________________________________________________________________________0\SM">'[4]#REF'!#REF!</definedName>
    <definedName name="_773______________________________________________________________________________________________________________0_0__123Grap" hidden="1">[1]공문!#REF!</definedName>
    <definedName name="_774__________________________________________________________________________________________________________________________________________________________3__Crite">#REF!</definedName>
    <definedName name="_774______________________________________________________________________________________________________________0_0_F" hidden="1">[3]Sheet3!#REF!</definedName>
    <definedName name="_775______________________________________________________________________________________________________________0_0_S" hidden="1">[3]Sheet3!#REF!</definedName>
    <definedName name="_776__________________________________________________________________________________________________________________________________________________________3__Criteria">#REF!</definedName>
    <definedName name="_776______________________________________________________________________________________________________________3__Crite">#REF!</definedName>
    <definedName name="_777______________________________________________________________________________________________________________3__Criteria">#REF!</definedName>
    <definedName name="_778_____________________________________________________________________________________________________________________________________________________________F" hidden="1">#REF!</definedName>
    <definedName name="_778______________________________________________________________________________________________________________G_0Extract">#REF!</definedName>
    <definedName name="_779______________________________________________________________________________________________________________G__Extr">#REF!</definedName>
    <definedName name="_78__________________________________________________________________________________________________________________________________________________________________________\MID">'[2]#REF'!#REF!</definedName>
    <definedName name="_78_________________________________________________________________________________________________________________________________________________________________________0_0_F" hidden="1">[3]Sheet3!#REF!</definedName>
    <definedName name="_780_____________________________________________________________________________________________________________________________________________________________F" hidden="1">[3]Sheet3!#REF!</definedName>
    <definedName name="_780______________________________________________________________________________________________________________G__Extract">#REF!</definedName>
    <definedName name="_781_________________________________________________________________________________________________________________ME">'[2]#REF'!#REF!</definedName>
    <definedName name="_782__________________________________________________________________________________________________________________________________________________________G_0Extract">#REF!</definedName>
    <definedName name="_782_________________________________________________________________________________________________________________ME">'[2]#REF'!#REF!</definedName>
    <definedName name="_783_______________________________________________________________________________________________________________123Grap" hidden="1">[1]공문!#REF!</definedName>
    <definedName name="_784__________________________________________________________________________________________________________________________________________________________G__Extr">#REF!</definedName>
    <definedName name="_784______________________________________________________________________________________________________________F" hidden="1">#REF!</definedName>
    <definedName name="_785______________________________________________________________________________________________________________F" hidden="1">[3]Sheet3!#REF!</definedName>
    <definedName name="_786__________________________________________________________________________________________________________________________________________________________G__Extract">#REF!</definedName>
    <definedName name="_786______________________________________________________________________________________________________________S" hidden="1">#REF!</definedName>
    <definedName name="_787______________________________________________________________________________________________________________S" hidden="1">[3]Sheet3!#REF!</definedName>
    <definedName name="_788_____________________________________________________________________________________________________________________________________________________________ME">'[2]#REF'!#REF!</definedName>
    <definedName name="_788______________________________________________________________________________________________________________S" hidden="1">#REF!</definedName>
    <definedName name="_789_____________________________________________________________________________________________________________\LA">'[2]#REF'!#REF!</definedName>
    <definedName name="_79__________________________________________________________________________________________________________________________________________________________________________\SM">'[2]#REF'!#REF!</definedName>
    <definedName name="_790_____________________________________________________________________________________________________________________________________________________________ME">'[2]#REF'!#REF!</definedName>
    <definedName name="_790_____________________________________________________________________________________________________________\MID">'[2]#REF'!#REF!</definedName>
    <definedName name="_791_____________________________________________________________________________________________________________\SM">'[2]#REF'!#REF!</definedName>
    <definedName name="_792_____________________________________________________________________________________________________________________________________________________________S" hidden="1">#REF!</definedName>
    <definedName name="_792____________________________________________________________________________________________________________0_F" hidden="1">#REF!</definedName>
    <definedName name="_793____________________________________________________________________________________________________________0_S" hidden="1">#REF!</definedName>
    <definedName name="_794_____________________________________________________________________________________________________________________________________________________________S" hidden="1">[3]Sheet3!#REF!</definedName>
    <definedName name="_794____________________________________________________________________________________________________________0_S" hidden="1">#REF!</definedName>
    <definedName name="_795____________________________________________________________________________________________________________0\SM">'[4]#REF'!#REF!</definedName>
    <definedName name="_796_____________________________________________________________________________________________________________________________________________________________S" hidden="1">#REF!</definedName>
    <definedName name="_796__________________________________________________________________________________________________________0_0__123Grap" hidden="1">[1]공문!#REF!</definedName>
    <definedName name="_797__________________________________________________________________________________________________________0_0_F" hidden="1">[3]Sheet3!#REF!</definedName>
    <definedName name="_798____________________________________________________________________________________________________________________________________________________________\LA">'[2]#REF'!#REF!</definedName>
    <definedName name="_798__________________________________________________________________________________________________________0_0_S" hidden="1">[3]Sheet3!#REF!</definedName>
    <definedName name="_799__________________________________________________________________________________________________________3__Crite">#REF!</definedName>
    <definedName name="_8______________________________________________________________________________________________________________________________________________________________________________F" hidden="1">[3]Sheet3!#REF!</definedName>
    <definedName name="_8_____________________________________________________________________________________________________________________________________________________________________________\LA">'[2]#REF'!#REF!</definedName>
    <definedName name="_80_________________________________________________________________________________________________________________________________________________________________________0_0_S" hidden="1">[3]Sheet3!#REF!</definedName>
    <definedName name="_80_________________________________________________________________________________________________________________________________________________________________________0_F" hidden="1">#REF!</definedName>
    <definedName name="_800____________________________________________________________________________________________________________________________________________________________\MID">'[2]#REF'!#REF!</definedName>
    <definedName name="_800___________________________________________________________________________________________________________________________________________123Grap" hidden="1">[1]공문!#REF!</definedName>
    <definedName name="_800__________________________________________________________________________________________________________3__Criteria">#REF!</definedName>
    <definedName name="_801__________________________________________________________________________________________________________G_0Extract">#REF!</definedName>
    <definedName name="_802____________________________________________________________________________________________________________________________________________________________\SM">'[2]#REF'!#REF!</definedName>
    <definedName name="_802__________________________________________________________________________________________________________G__Extr">#REF!</definedName>
    <definedName name="_803__________________________________________________________________________________________________________G__Extract">#REF!</definedName>
    <definedName name="_804___________________________________________________________________________________________________________________________________________________________0_F" hidden="1">#REF!</definedName>
    <definedName name="_804_____________________________________________________________________________________________________________ME">'[2]#REF'!#REF!</definedName>
    <definedName name="_805_____________________________________________________________________________________________________________ME">'[2]#REF'!#REF!</definedName>
    <definedName name="_806___________________________________________________________________________________________________________________________________________________________0_S" hidden="1">#REF!</definedName>
    <definedName name="_808___________________________________________________________________________________________________________________________________________________________0_S" hidden="1">#REF!</definedName>
    <definedName name="_81_________________________________________________________________________________________________________________________________________________________________________0_S" hidden="1">#REF!</definedName>
    <definedName name="_810___________________________________________________________________________________________________________________________________________________________0\SM">'[4]#REF'!#REF!</definedName>
    <definedName name="_812_________________________________________________________________________________________________________________________________________________________0_0__123Grap" hidden="1">[1]공문!#REF!</definedName>
    <definedName name="_814_________________________________________________________________________________________________________________________________________________________0_0_F" hidden="1">[3]Sheet3!#REF!</definedName>
    <definedName name="_816_________________________________________________________________________________________________________________________________________________________0_0_S" hidden="1">[3]Sheet3!#REF!</definedName>
    <definedName name="_818____________________________________________________________________________________________________________________________________________________________123Grap" hidden="1">[1]공문!#REF!</definedName>
    <definedName name="_82____________________________________________________________________________________________________________________________________________________________________________123Grap" hidden="1">[1]공문!#REF!</definedName>
    <definedName name="_82_________________________________________________________________________________________________________________________________________________________________________0_S" hidden="1">#REF!</definedName>
    <definedName name="_820_________________________________________________________________________________________________________________________________________________________3__Crite">#REF!</definedName>
    <definedName name="_822_________________________________________________________________________________________________________________________________________________________3__Criteria">#REF!</definedName>
    <definedName name="_824____________________________________________________________________________________________________________________________________________________________F" hidden="1">#REF!</definedName>
    <definedName name="_826____________________________________________________________________________________________________________________________________________________________F" hidden="1">[3]Sheet3!#REF!</definedName>
    <definedName name="_826__________________________________________________________________________________________________________________________________________F" hidden="1">#REF!</definedName>
    <definedName name="_827__________________________________________________________________________________________________________________________________________F" hidden="1">[3]Sheet3!#REF!</definedName>
    <definedName name="_828_________________________________________________________________________________________________________________________________________________________G_0Extract">#REF!</definedName>
    <definedName name="_829_______________________________________________________________________________________________________123Grap" hidden="1">[1]공문!#REF!</definedName>
    <definedName name="_83_________________________________________________________________________________________________________________________________________________________________________0\SM">'[4]#REF'!#REF!</definedName>
    <definedName name="_830_________________________________________________________________________________________________________________________________________________________G__Extr">#REF!</definedName>
    <definedName name="_830______________________________________________________________________________________________________F" hidden="1">#REF!</definedName>
    <definedName name="_831______________________________________________________________________________________________________F" hidden="1">[3]Sheet3!#REF!</definedName>
    <definedName name="_832_________________________________________________________________________________________________________________________________________________________G__Extract">#REF!</definedName>
    <definedName name="_832______________________________________________________________________________________________________S" hidden="1">#REF!</definedName>
    <definedName name="_833__________________________________________________________________________________________________________________________________________S" hidden="1">#REF!</definedName>
    <definedName name="_833______________________________________________________________________________________________________S" hidden="1">[3]Sheet3!#REF!</definedName>
    <definedName name="_834____________________________________________________________________________________________________________________________________________________________ME">'[2]#REF'!#REF!</definedName>
    <definedName name="_834__________________________________________________________________________________________________________________________________________S" hidden="1">[3]Sheet3!#REF!</definedName>
    <definedName name="_834______________________________________________________________________________________________________S" hidden="1">#REF!</definedName>
    <definedName name="_835__________________________________________________________________________________________________________________________________________S" hidden="1">#REF!</definedName>
    <definedName name="_835_____________________________________________________________________________________________________\LA">'[2]#REF'!#REF!</definedName>
    <definedName name="_836____________________________________________________________________________________________________________________________________________________________ME">'[2]#REF'!#REF!</definedName>
    <definedName name="_836_________________________________________________________________________________________________________________________________________\LA">'[2]#REF'!#REF!</definedName>
    <definedName name="_836_____________________________________________________________________________________________________\MID">'[2]#REF'!#REF!</definedName>
    <definedName name="_837_________________________________________________________________________________________________________________________________________\MID">'[2]#REF'!#REF!</definedName>
    <definedName name="_837_____________________________________________________________________________________________________\SM">'[2]#REF'!#REF!</definedName>
    <definedName name="_838____________________________________________________________________________________________________________________________________________________________S" hidden="1">#REF!</definedName>
    <definedName name="_838_________________________________________________________________________________________________________________________________________\SM">'[2]#REF'!#REF!</definedName>
    <definedName name="_838____________________________________________________________________________________________________0_F" hidden="1">#REF!</definedName>
    <definedName name="_839________________________________________________________________________________________________________________________________________0_F" hidden="1">#REF!</definedName>
    <definedName name="_839____________________________________________________________________________________________________0_S" hidden="1">#REF!</definedName>
    <definedName name="_84_________________________________________________________________________________________________________________________________________________________________________3__Crite">#REF!</definedName>
    <definedName name="_84_______________________________________________________________________________________________________________________________________________________________________0_0__123Grap" hidden="1">[1]공문!#REF!</definedName>
    <definedName name="_840____________________________________________________________________________________________________________________________________________________________S" hidden="1">[3]Sheet3!#REF!</definedName>
    <definedName name="_840________________________________________________________________________________________________________________________________________0_S" hidden="1">#REF!</definedName>
    <definedName name="_840____________________________________________________________________________________________________0_S" hidden="1">#REF!</definedName>
    <definedName name="_841________________________________________________________________________________________________________________________________________0_S" hidden="1">#REF!</definedName>
    <definedName name="_841____________________________________________________________________________________________________0\SM">'[4]#REF'!#REF!</definedName>
    <definedName name="_842____________________________________________________________________________________________________________________________________________________________S" hidden="1">#REF!</definedName>
    <definedName name="_842________________________________________________________________________________________________________________________________________0\SM">'[4]#REF'!#REF!</definedName>
    <definedName name="_842__________________________________________________________________________________________________0_0__123Grap" hidden="1">[1]공문!#REF!</definedName>
    <definedName name="_843______________________________________________________________________________________________________________________________________0_0__123Grap" hidden="1">[1]공문!#REF!</definedName>
    <definedName name="_843__________________________________________________________________________________________________0_0_F" hidden="1">[3]Sheet3!#REF!</definedName>
    <definedName name="_844___________________________________________________________________________________________________________________________________________________________\LA">'[2]#REF'!#REF!</definedName>
    <definedName name="_844______________________________________________________________________________________________________________________________________0_0_F" hidden="1">[3]Sheet3!#REF!</definedName>
    <definedName name="_844__________________________________________________________________________________________________0_0_S" hidden="1">[3]Sheet3!#REF!</definedName>
    <definedName name="_845______________________________________________________________________________________________________________________________________0_0_S" hidden="1">[3]Sheet3!#REF!</definedName>
    <definedName name="_845__________________________________________________________________________________________________3__Crite">#REF!</definedName>
    <definedName name="_846___________________________________________________________________________________________________________________________________________________________\MID">'[2]#REF'!#REF!</definedName>
    <definedName name="_846__________________________________________________________________________________________________3__Criteria">#REF!</definedName>
    <definedName name="_847______________________________________________________________________________________________________________________________________3__Crite">#REF!</definedName>
    <definedName name="_847__________________________________________________________________________________________________G_0Extract">#REF!</definedName>
    <definedName name="_848___________________________________________________________________________________________________________________________________________________________\SM">'[2]#REF'!#REF!</definedName>
    <definedName name="_848______________________________________________________________________________________________________________________________________3__Criteria">#REF!</definedName>
    <definedName name="_848__________________________________________________________________________________________________G__Extr">#REF!</definedName>
    <definedName name="_849__________________________________________________________________________________________________G__Extract">#REF!</definedName>
    <definedName name="_85_______________________________________________________________________________________________________________________________________________________________________0_0_F" hidden="1">[3]Sheet3!#REF!</definedName>
    <definedName name="_850__________________________________________________________________________________________________________________________________________________________0_F" hidden="1">#REF!</definedName>
    <definedName name="_850_____________________________________________________________________________________________________ME">'[2]#REF'!#REF!</definedName>
    <definedName name="_851______________________________________________________________________________________________________________________________________G_0Extract">#REF!</definedName>
    <definedName name="_851_____________________________________________________________________________________________________ME">'[2]#REF'!#REF!</definedName>
    <definedName name="_852__________________________________________________________________________________________________________________________________________________________0_S" hidden="1">#REF!</definedName>
    <definedName name="_852______________________________________________________________________________________________________________________________________G__Extr">#REF!</definedName>
    <definedName name="_852____________________________________________________________________________________________________123Grap" hidden="1">[1]공문!#REF!</definedName>
    <definedName name="_853______________________________________________________________________________________________________________________________________G__Extract">#REF!</definedName>
    <definedName name="_853___________________________________________________________________________________________________F" hidden="1">#REF!</definedName>
    <definedName name="_854__________________________________________________________________________________________________________________________________________________________0_S" hidden="1">#REF!</definedName>
    <definedName name="_854_________________________________________________________________________________________________________________________________________ME">'[2]#REF'!#REF!</definedName>
    <definedName name="_854___________________________________________________________________________________________________F" hidden="1">[3]Sheet3!#REF!</definedName>
    <definedName name="_855_________________________________________________________________________________________________________________________________________ME">'[2]#REF'!#REF!</definedName>
    <definedName name="_855___________________________________________________________________________________________________S" hidden="1">#REF!</definedName>
    <definedName name="_856__________________________________________________________________________________________________________________________________________________________0\SM">'[4]#REF'!#REF!</definedName>
    <definedName name="_856___________________________________________________________________________________________________S" hidden="1">[3]Sheet3!#REF!</definedName>
    <definedName name="_857___________________________________________________________________________________________________S" hidden="1">#REF!</definedName>
    <definedName name="_858________________________________________________________________________________________________________________________________________________________0_0__123Grap" hidden="1">[1]공문!#REF!</definedName>
    <definedName name="_858__________________________________________________________________________________________________\LA">'[2]#REF'!#REF!</definedName>
    <definedName name="_859__________________________________________________________________________________________________\MID">'[2]#REF'!#REF!</definedName>
    <definedName name="_86_________________________________________________________________________________________________________________________________________________________________________3__Criteria">#REF!</definedName>
    <definedName name="_86_______________________________________________________________________________________________________________________________________________________________________0_0_S" hidden="1">[3]Sheet3!#REF!</definedName>
    <definedName name="_860________________________________________________________________________________________________________________________________________________________0_0_F" hidden="1">[3]Sheet3!#REF!</definedName>
    <definedName name="_860__________________________________________________________________________________________________\SM">'[2]#REF'!#REF!</definedName>
    <definedName name="_861_________________________________________________________________________________________________0_F" hidden="1">#REF!</definedName>
    <definedName name="_862________________________________________________________________________________________________________________________________________________________0_0_S" hidden="1">[3]Sheet3!#REF!</definedName>
    <definedName name="_862_________________________________________________________________________________________________0_S" hidden="1">#REF!</definedName>
    <definedName name="_863_________________________________________________________________________________________________0_S" hidden="1">#REF!</definedName>
    <definedName name="_864___________________________________________________________________________________________________________________________________________________________123Grap" hidden="1">[1]공문!#REF!</definedName>
    <definedName name="_864_________________________________________________________________________________________________0\SM">'[4]#REF'!#REF!</definedName>
    <definedName name="_865_______________________________________________________________________________________________0_0__123Grap" hidden="1">[1]공문!#REF!</definedName>
    <definedName name="_866________________________________________________________________________________________________________________________________________________________3__Crite">#REF!</definedName>
    <definedName name="_866_______________________________________________________________________________________________0_0_F" hidden="1">[3]Sheet3!#REF!</definedName>
    <definedName name="_867_______________________________________________________________________________________________0_0_S" hidden="1">[3]Sheet3!#REF!</definedName>
    <definedName name="_868________________________________________________________________________________________________________________________________________________________3__Criteria">#REF!</definedName>
    <definedName name="_868_______________________________________________________________________________________________3__Crite">#REF!</definedName>
    <definedName name="_869_______________________________________________________________________________________________3__Criteria">#REF!</definedName>
    <definedName name="_87__________________________________________________________________________________________________________________________________________________________________________123Grap" hidden="1">[1]공문!#REF!</definedName>
    <definedName name="_870___________________________________________________________________________________________________________________________________________________________F" hidden="1">#REF!</definedName>
    <definedName name="_870_______________________________________________________________________________________________G_0Extract">#REF!</definedName>
    <definedName name="_871_______________________________________________________________________________________________G__Extr">#REF!</definedName>
    <definedName name="_872___________________________________________________________________________________________________________________________________________________________F" hidden="1">[3]Sheet3!#REF!</definedName>
    <definedName name="_872_______________________________________________________________________________________________G__Extract">#REF!</definedName>
    <definedName name="_873__________________________________________________________________________________________________ME">'[2]#REF'!#REF!</definedName>
    <definedName name="_874________________________________________________________________________________________________________________________________________________________G_0Extract">#REF!</definedName>
    <definedName name="_874__________________________________________________________________________________________________ME">'[2]#REF'!#REF!</definedName>
    <definedName name="_875________________________________________________________________________________________________123Grap" hidden="1">[1]공문!#REF!</definedName>
    <definedName name="_876________________________________________________________________________________________________________________________________________________________G__Extr">#REF!</definedName>
    <definedName name="_876_______________________________________________________________________________________________F" hidden="1">#REF!</definedName>
    <definedName name="_877_______________________________________________________________________________________________F" hidden="1">[3]Sheet3!#REF!</definedName>
    <definedName name="_878________________________________________________________________________________________________________________________________________________________G__Extract">#REF!</definedName>
    <definedName name="_878_______________________________________________________________________________________________S" hidden="1">#REF!</definedName>
    <definedName name="_879_______________________________________________________________________________________________S" hidden="1">[3]Sheet3!#REF!</definedName>
    <definedName name="_88____________________________________________________________________________________________________________________________________________________________________________F" hidden="1">#REF!</definedName>
    <definedName name="_88_______________________________________________________________________________________________________________________________________________________________________3__Crite">#REF!</definedName>
    <definedName name="_880___________________________________________________________________________________________________________________________________________________________ME">'[2]#REF'!#REF!</definedName>
    <definedName name="_880_______________________________________________________________________________________________S" hidden="1">#REF!</definedName>
    <definedName name="_881______________________________________________________________________________________________\LA">'[2]#REF'!#REF!</definedName>
    <definedName name="_882___________________________________________________________________________________________________________________________________________________________ME">'[2]#REF'!#REF!</definedName>
    <definedName name="_882______________________________________________________________________________________________\MID">'[2]#REF'!#REF!</definedName>
    <definedName name="_883______________________________________________________________________________________________\SM">'[2]#REF'!#REF!</definedName>
    <definedName name="_884___________________________________________________________________________________________________________________________________________________________S" hidden="1">#REF!</definedName>
    <definedName name="_884_____________________________________________________________________________________________0_F" hidden="1">#REF!</definedName>
    <definedName name="_885_____________________________________________________________________________________________0_S" hidden="1">#REF!</definedName>
    <definedName name="_886___________________________________________________________________________________________________________________________________________________________S" hidden="1">[3]Sheet3!#REF!</definedName>
    <definedName name="_886_____________________________________________________________________________________________0_S" hidden="1">#REF!</definedName>
    <definedName name="_887_____________________________________________________________________________________________0\SM">'[4]#REF'!#REF!</definedName>
    <definedName name="_888___________________________________________________________________________________________________________________________________________________________S" hidden="1">#REF!</definedName>
    <definedName name="_888___________________________________________________________________________________________0_0__123Grap" hidden="1">[1]공문!#REF!</definedName>
    <definedName name="_889___________________________________________________________________________________________0_0_F" hidden="1">[3]Sheet3!#REF!</definedName>
    <definedName name="_89_______________________________________________________________________________________________________________________________________________________________________3__Criteria">#REF!</definedName>
    <definedName name="_890__________________________________________________________________________________________________________________________________________________________\LA">'[2]#REF'!#REF!</definedName>
    <definedName name="_890___________________________________________________________________________________________0_0_S" hidden="1">[3]Sheet3!#REF!</definedName>
    <definedName name="_891___________________________________________________________________________________________3__Crite">#REF!</definedName>
    <definedName name="_892__________________________________________________________________________________________________________________________________________________________\MID">'[2]#REF'!#REF!</definedName>
    <definedName name="_892_______________________________________________________________________________________________________________________________________123Grap" hidden="1">[1]공문!#REF!</definedName>
    <definedName name="_892___________________________________________________________________________________________3__Criteria">#REF!</definedName>
    <definedName name="_893___________________________________________________________________________________________G_0Extract">#REF!</definedName>
    <definedName name="_894__________________________________________________________________________________________________________________________________________________________\SM">'[2]#REF'!#REF!</definedName>
    <definedName name="_894___________________________________________________________________________________________G__Extr">#REF!</definedName>
    <definedName name="_895___________________________________________________________________________________________G__Extract">#REF!</definedName>
    <definedName name="_896_________________________________________________________________________________________________________________________________________________________0_F" hidden="1">#REF!</definedName>
    <definedName name="_896______________________________________________________________________________________________ME">'[2]#REF'!#REF!</definedName>
    <definedName name="_897______________________________________________________________________________________________ME">'[2]#REF'!#REF!</definedName>
    <definedName name="_898_________________________________________________________________________________________________________________________________________________________0_S" hidden="1">#REF!</definedName>
    <definedName name="_898____________________________________________________________________________________________123Grap" hidden="1">[1]공문!#REF!</definedName>
    <definedName name="_899___________________________________________________________________________________________F" hidden="1">#REF!</definedName>
    <definedName name="_9_____________________________________________________________________________________________________________________________________________________________________________\MID">'[2]#REF'!#REF!</definedName>
    <definedName name="_90____________________________________________________________________________________________________________________________________________________________________________F" hidden="1">[3]Sheet3!#REF!</definedName>
    <definedName name="_90__________________________________________________________________________________________________________________________________________________________________________F" hidden="1">#REF!</definedName>
    <definedName name="_900_________________________________________________________________________________________________________________________________________________________0_S" hidden="1">#REF!</definedName>
    <definedName name="_900___________________________________________________________________________________________F" hidden="1">[3]Sheet3!#REF!</definedName>
    <definedName name="_901___________________________________________________________________________________________S" hidden="1">#REF!</definedName>
    <definedName name="_902_________________________________________________________________________________________________________________________________________________________0\SM">'[4]#REF'!#REF!</definedName>
    <definedName name="_902___________________________________________________________________________________________S" hidden="1">[3]Sheet3!#REF!</definedName>
    <definedName name="_903___________________________________________________________________________________________S" hidden="1">#REF!</definedName>
    <definedName name="_904_______________________________________________________________________________________________________________________________________________________0_0__123Grap" hidden="1">[1]공문!#REF!</definedName>
    <definedName name="_904__________________________________________________________________________________________\LA">'[2]#REF'!#REF!</definedName>
    <definedName name="_905__________________________________________________________________________________________\MID">'[2]#REF'!#REF!</definedName>
    <definedName name="_906_______________________________________________________________________________________________________________________________________________________0_0_F" hidden="1">[3]Sheet3!#REF!</definedName>
    <definedName name="_906__________________________________________________________________________________________\SM">'[2]#REF'!#REF!</definedName>
    <definedName name="_907_________________________________________________________________________________________0_F" hidden="1">#REF!</definedName>
    <definedName name="_908_______________________________________________________________________________________________________________________________________________________0_0_S" hidden="1">[3]Sheet3!#REF!</definedName>
    <definedName name="_908_________________________________________________________________________________________0_S" hidden="1">#REF!</definedName>
    <definedName name="_909_________________________________________________________________________________________0_S" hidden="1">#REF!</definedName>
    <definedName name="_91__________________________________________________________________________________________________________________________________________________________________________F" hidden="1">[3]Sheet3!#REF!</definedName>
    <definedName name="_910__________________________________________________________________________________________________________________________________________________________123Grap" hidden="1">[1]공문!#REF!</definedName>
    <definedName name="_910_________________________________________________________________________________________0\SM">'[4]#REF'!#REF!</definedName>
    <definedName name="_911_______________________________________________________________________________________0_0__123Grap" hidden="1">[1]공문!#REF!</definedName>
    <definedName name="_912_______________________________________________________________________________________________________________________________________________________3__Crite">#REF!</definedName>
    <definedName name="_912_______________________________________________________________________________________0_0_F" hidden="1">[3]Sheet3!#REF!</definedName>
    <definedName name="_913_______________________________________________________________________________________0_0_S" hidden="1">[3]Sheet3!#REF!</definedName>
    <definedName name="_914_______________________________________________________________________________________________________________________________________________________3__Criteria">#REF!</definedName>
    <definedName name="_914_______________________________________________________________________________________3__Crite">#REF!</definedName>
    <definedName name="_915_______________________________________________________________________________________3__Criteria">#REF!</definedName>
    <definedName name="_916__________________________________________________________________________________________________________________________________________________________F" hidden="1">#REF!</definedName>
    <definedName name="_916_______________________________________________________________________________________G_0Extract">#REF!</definedName>
    <definedName name="_917_______________________________________________________________________________________G__Extr">#REF!</definedName>
    <definedName name="_918__________________________________________________________________________________________________________________________________________________________F" hidden="1">[3]Sheet3!#REF!</definedName>
    <definedName name="_918______________________________________________________________________________________________________________________________________F" hidden="1">#REF!</definedName>
    <definedName name="_918_______________________________________________________________________________________G__Extract">#REF!</definedName>
    <definedName name="_919______________________________________________________________________________________________________________________________________F" hidden="1">[3]Sheet3!#REF!</definedName>
    <definedName name="_919__________________________________________________________________________________________ME">'[2]#REF'!#REF!</definedName>
    <definedName name="_92_________________________________________________________________________________________________________________________________________________________________________G_0Extract">#REF!</definedName>
    <definedName name="_92_______________________________________________________________________________________________________________________________________________________________________G_0Extract">#REF!</definedName>
    <definedName name="_920_______________________________________________________________________________________________________________________________________________________G_0Extract">#REF!</definedName>
    <definedName name="_920__________________________________________________________________________________________ME">'[2]#REF'!#REF!</definedName>
    <definedName name="_921________________________________________________________________________________________123Grap" hidden="1">[1]공문!#REF!</definedName>
    <definedName name="_922_______________________________________________________________________________________________________________________________________________________G__Extr">#REF!</definedName>
    <definedName name="_922_______________________________________________________________________________________F" hidden="1">#REF!</definedName>
    <definedName name="_923_______________________________________________________________________________________F" hidden="1">[3]Sheet3!#REF!</definedName>
    <definedName name="_924_______________________________________________________________________________________________________________________________________________________G__Extract">#REF!</definedName>
    <definedName name="_924_______________________________________________________________________________________S" hidden="1">#REF!</definedName>
    <definedName name="_925______________________________________________________________________________________________________________________________________S" hidden="1">#REF!</definedName>
    <definedName name="_925_______________________________________________________________________________________S" hidden="1">[3]Sheet3!#REF!</definedName>
    <definedName name="_926__________________________________________________________________________________________________________________________________________________________ME">'[2]#REF'!#REF!</definedName>
    <definedName name="_926______________________________________________________________________________________________________________________________________S" hidden="1">[3]Sheet3!#REF!</definedName>
    <definedName name="_926_______________________________________________________________________________________S" hidden="1">#REF!</definedName>
    <definedName name="_927______________________________________________________________________________________________________________________________________S" hidden="1">#REF!</definedName>
    <definedName name="_927______________________________________________________________________________________\LA">'[2]#REF'!#REF!</definedName>
    <definedName name="_928__________________________________________________________________________________________________________________________________________________________ME">'[2]#REF'!#REF!</definedName>
    <definedName name="_928_____________________________________________________________________________________________________________________________________\LA">'[2]#REF'!#REF!</definedName>
    <definedName name="_928______________________________________________________________________________________\MID">'[2]#REF'!#REF!</definedName>
    <definedName name="_929_____________________________________________________________________________________________________________________________________\MID">'[2]#REF'!#REF!</definedName>
    <definedName name="_929______________________________________________________________________________________\SM">'[2]#REF'!#REF!</definedName>
    <definedName name="_93_______________________________________________________________________________________________________________________________________________________________________G__Extr">#REF!</definedName>
    <definedName name="_930__________________________________________________________________________________________________________________________________________________________S" hidden="1">#REF!</definedName>
    <definedName name="_930_____________________________________________________________________________________________________________________________________\SM">'[2]#REF'!#REF!</definedName>
    <definedName name="_930_____________________________________________________________________________________0_F" hidden="1">#REF!</definedName>
    <definedName name="_931____________________________________________________________________________________________________________________________________0_F" hidden="1">#REF!</definedName>
    <definedName name="_931_____________________________________________________________________________________0_S" hidden="1">#REF!</definedName>
    <definedName name="_932__________________________________________________________________________________________________________________________________________________________S" hidden="1">[3]Sheet3!#REF!</definedName>
    <definedName name="_932____________________________________________________________________________________________________________________________________0_S" hidden="1">#REF!</definedName>
    <definedName name="_932_____________________________________________________________________________________0_S" hidden="1">#REF!</definedName>
    <definedName name="_933____________________________________________________________________________________________________________________________________0_S" hidden="1">#REF!</definedName>
    <definedName name="_933_____________________________________________________________________________________0\SM">'[4]#REF'!#REF!</definedName>
    <definedName name="_934__________________________________________________________________________________________________________________________________________________________S" hidden="1">#REF!</definedName>
    <definedName name="_934____________________________________________________________________________________________________________________________________0\SM">'[4]#REF'!#REF!</definedName>
    <definedName name="_934___________________________________________________________________________________0_0__123Grap" hidden="1">[1]공문!#REF!</definedName>
    <definedName name="_935__________________________________________________________________________________________________________________________________0_0__123Grap" hidden="1">[1]공문!#REF!</definedName>
    <definedName name="_935___________________________________________________________________________________0_0_F" hidden="1">[3]Sheet3!#REF!</definedName>
    <definedName name="_936_________________________________________________________________________________________________________________________________________________________\LA">'[2]#REF'!#REF!</definedName>
    <definedName name="_936__________________________________________________________________________________________________________________________________0_0_F" hidden="1">[3]Sheet3!#REF!</definedName>
    <definedName name="_936___________________________________________________________________________________0_0_S" hidden="1">[3]Sheet3!#REF!</definedName>
    <definedName name="_937__________________________________________________________________________________________________________________________________0_0_S" hidden="1">[3]Sheet3!#REF!</definedName>
    <definedName name="_937___________________________________________________________________________________3__Crite">#REF!</definedName>
    <definedName name="_938_________________________________________________________________________________________________________________________________________________________\MID">'[2]#REF'!#REF!</definedName>
    <definedName name="_938___________________________________________________________________________________3__Criteria">#REF!</definedName>
    <definedName name="_939__________________________________________________________________________________________________________________________________3__Crite">#REF!</definedName>
    <definedName name="_939___________________________________________________________________________________G_0Extract">#REF!</definedName>
    <definedName name="_94_________________________________________________________________________________________________________________________________________________________________________G__Extr">#REF!</definedName>
    <definedName name="_94_______________________________________________________________________________________________________________________________________________________________________G__Extract">#REF!</definedName>
    <definedName name="_940_________________________________________________________________________________________________________________________________________________________\SM">'[2]#REF'!#REF!</definedName>
    <definedName name="_940__________________________________________________________________________________________________________________________________3__Criteria">#REF!</definedName>
    <definedName name="_940___________________________________________________________________________________G__Extr">#REF!</definedName>
    <definedName name="_941___________________________________________________________________________________G__Extract">#REF!</definedName>
    <definedName name="_942________________________________________________________________________________________________________________________________________________________0_F" hidden="1">#REF!</definedName>
    <definedName name="_942______________________________________________________________________________________ME">'[2]#REF'!#REF!</definedName>
    <definedName name="_943__________________________________________________________________________________________________________________________________G_0Extract">#REF!</definedName>
    <definedName name="_943______________________________________________________________________________________ME">'[2]#REF'!#REF!</definedName>
    <definedName name="_944________________________________________________________________________________________________________________________________________________________0_S" hidden="1">#REF!</definedName>
    <definedName name="_944__________________________________________________________________________________________________________________________________G__Extr">#REF!</definedName>
    <definedName name="_944____________________________________________________________________________________123Grap" hidden="1">[1]공문!#REF!</definedName>
    <definedName name="_945__________________________________________________________________________________________________________________________________G__Extract">#REF!</definedName>
    <definedName name="_945___________________________________________________________________________________F" hidden="1">#REF!</definedName>
    <definedName name="_946________________________________________________________________________________________________________________________________________________________0_S" hidden="1">#REF!</definedName>
    <definedName name="_946_____________________________________________________________________________________________________________________________________ME">'[2]#REF'!#REF!</definedName>
    <definedName name="_946___________________________________________________________________________________F" hidden="1">[3]Sheet3!#REF!</definedName>
    <definedName name="_947_____________________________________________________________________________________________________________________________________ME">'[2]#REF'!#REF!</definedName>
    <definedName name="_947___________________________________________________________________________________S" hidden="1">#REF!</definedName>
    <definedName name="_948________________________________________________________________________________________________________________________________________________________0\SM">'[4]#REF'!#REF!</definedName>
    <definedName name="_948___________________________________________________________________________________S" hidden="1">[3]Sheet3!#REF!</definedName>
    <definedName name="_949___________________________________________________________________________________S" hidden="1">#REF!</definedName>
    <definedName name="_95__________________________________________________________________________________________________________________________________________________________________________ME">'[2]#REF'!#REF!</definedName>
    <definedName name="_950______________________________________________________________________________________________________________________________________________________0_0__123Grap" hidden="1">[1]공문!#REF!</definedName>
    <definedName name="_950__________________________________________________________________________________\LA">'[2]#REF'!#REF!</definedName>
    <definedName name="_951__________________________________________________________________________________\MID">'[2]#REF'!#REF!</definedName>
    <definedName name="_952______________________________________________________________________________________________________________________________________________________0_0_F" hidden="1">[3]Sheet3!#REF!</definedName>
    <definedName name="_952__________________________________________________________________________________\SM">'[2]#REF'!#REF!</definedName>
    <definedName name="_953_________________________________________________________________________________0_F" hidden="1">#REF!</definedName>
    <definedName name="_954______________________________________________________________________________________________________________________________________________________0_0_S" hidden="1">[3]Sheet3!#REF!</definedName>
    <definedName name="_954_________________________________________________________________________________0_S" hidden="1">#REF!</definedName>
    <definedName name="_955_________________________________________________________________________________0_S" hidden="1">#REF!</definedName>
    <definedName name="_956_________________________________________________________________________________________________________________________________________________________123Grap" hidden="1">[1]공문!#REF!</definedName>
    <definedName name="_956_________________________________________________________________________________0\SM">'[4]#REF'!#REF!</definedName>
    <definedName name="_957_______________________________________________________________________________0_0__123Grap" hidden="1">[1]공문!#REF!</definedName>
    <definedName name="_958______________________________________________________________________________________________________________________________________________________3__Crite">#REF!</definedName>
    <definedName name="_958_______________________________________________________________________________0_0_F" hidden="1">[3]Sheet3!#REF!</definedName>
    <definedName name="_959_______________________________________________________________________________0_0_S" hidden="1">[3]Sheet3!#REF!</definedName>
    <definedName name="_96__________________________________________________________________________________________________________________________________________________________________________ME">'[2]#REF'!#REF!</definedName>
    <definedName name="_96_________________________________________________________________________________________________________________________________________________________________________G__Extract">#REF!</definedName>
    <definedName name="_960______________________________________________________________________________________________________________________________________________________3__Criteria">#REF!</definedName>
    <definedName name="_960_______________________________________________________________________________3__Crite">#REF!</definedName>
    <definedName name="_961_______________________________________________________________________________3__Criteria">#REF!</definedName>
    <definedName name="_962_________________________________________________________________________________________________________________________________________________________F" hidden="1">#REF!</definedName>
    <definedName name="_962_______________________________________________________________________________G_0Extract">#REF!</definedName>
    <definedName name="_963_______________________________________________________________________________G__Extr">#REF!</definedName>
    <definedName name="_964_________________________________________________________________________________________________________________________________________________________F" hidden="1">[3]Sheet3!#REF!</definedName>
    <definedName name="_964_______________________________________________________________________________G__Extract">#REF!</definedName>
    <definedName name="_965__________________________________________________________________________________ME">'[2]#REF'!#REF!</definedName>
    <definedName name="_966______________________________________________________________________________________________________________________________________________________G_0Extract">#REF!</definedName>
    <definedName name="_966__________________________________________________________________________________ME">'[2]#REF'!#REF!</definedName>
    <definedName name="_967________________________________________________________________________________123Grap" hidden="1">[1]공문!#REF!</definedName>
    <definedName name="_968______________________________________________________________________________________________________________________________________________________G__Extr">#REF!</definedName>
    <definedName name="_968_______________________________________________________________________________F" hidden="1">#REF!</definedName>
    <definedName name="_969_______________________________________________________________________________F" hidden="1">[3]Sheet3!#REF!</definedName>
    <definedName name="_97__________________________________________________________________________________________________________________________________________________________________________S" hidden="1">#REF!</definedName>
    <definedName name="_970______________________________________________________________________________________________________________________________________________________G__Extract">#REF!</definedName>
    <definedName name="_970_______________________________________________________________________________S" hidden="1">#REF!</definedName>
    <definedName name="_971_______________________________________________________________________________S" hidden="1">[3]Sheet3!#REF!</definedName>
    <definedName name="_972_________________________________________________________________________________________________________________________________________________________ME">'[2]#REF'!#REF!</definedName>
    <definedName name="_972_______________________________________________________________________________S" hidden="1">#REF!</definedName>
    <definedName name="_973______________________________________________________________________________\LA">'[2]#REF'!#REF!</definedName>
    <definedName name="_974_________________________________________________________________________________________________________________________________________________________ME">'[2]#REF'!#REF!</definedName>
    <definedName name="_974______________________________________________________________________________\MID">'[2]#REF'!#REF!</definedName>
    <definedName name="_975______________________________________________________________________________\SM">'[2]#REF'!#REF!</definedName>
    <definedName name="_976_________________________________________________________________________________________________________________________________________________________S" hidden="1">#REF!</definedName>
    <definedName name="_976_____________________________________________________________________________0_F" hidden="1">#REF!</definedName>
    <definedName name="_977_____________________________________________________________________________0_S" hidden="1">#REF!</definedName>
    <definedName name="_978_________________________________________________________________________________________________________________________________________________________S" hidden="1">[3]Sheet3!#REF!</definedName>
    <definedName name="_978_____________________________________________________________________________0_S" hidden="1">#REF!</definedName>
    <definedName name="_979_____________________________________________________________________________0\SM">'[4]#REF'!#REF!</definedName>
    <definedName name="_98____________________________________________________________________________________________________________________________________________________________________________ME">'[2]#REF'!#REF!</definedName>
    <definedName name="_98__________________________________________________________________________________________________________________________________________________________________________S" hidden="1">[3]Sheet3!#REF!</definedName>
    <definedName name="_980_________________________________________________________________________________________________________________________________________________________S" hidden="1">#REF!</definedName>
    <definedName name="_980___________________________________________________________________________0_0__123Grap" hidden="1">[1]공문!#REF!</definedName>
    <definedName name="_981___________________________________________________________________________0_0_F" hidden="1">[3]Sheet3!#REF!</definedName>
    <definedName name="_982________________________________________________________________________________________________________________________________________________________\LA">'[2]#REF'!#REF!</definedName>
    <definedName name="_982___________________________________________________________________________0_0_S" hidden="1">[3]Sheet3!#REF!</definedName>
    <definedName name="_983___________________________________________________________________________3__Crite">#REF!</definedName>
    <definedName name="_984________________________________________________________________________________________________________________________________________________________\MID">'[2]#REF'!#REF!</definedName>
    <definedName name="_984___________________________________________________________________________________________________________________________________123Grap" hidden="1">[1]공문!#REF!</definedName>
    <definedName name="_984___________________________________________________________________________3__Criteria">#REF!</definedName>
    <definedName name="_985___________________________________________________________________________G_0Extract">#REF!</definedName>
    <definedName name="_986________________________________________________________________________________________________________________________________________________________\SM">'[2]#REF'!#REF!</definedName>
    <definedName name="_986___________________________________________________________________________G__Extr">#REF!</definedName>
    <definedName name="_987___________________________________________________________________________G__Extract">#REF!</definedName>
    <definedName name="_988_______________________________________________________________________________________________________________________________________________________0_F" hidden="1">#REF!</definedName>
    <definedName name="_988______________________________________________________________________________ME">'[2]#REF'!#REF!</definedName>
    <definedName name="_989______________________________________________________________________________ME">'[2]#REF'!#REF!</definedName>
    <definedName name="_99__________________________________________________________________________________________________________________________________________________________________________S" hidden="1">#REF!</definedName>
    <definedName name="_990_______________________________________________________________________________________________________________________________________________________0_S" hidden="1">#REF!</definedName>
    <definedName name="_990____________________________________________________________________________123Grap" hidden="1">[1]공문!#REF!</definedName>
    <definedName name="_991___________________________________________________________________________F" hidden="1">#REF!</definedName>
    <definedName name="_992_______________________________________________________________________________________________________________________________________________________0_S" hidden="1">#REF!</definedName>
    <definedName name="_992___________________________________________________________________________F" hidden="1">[3]Sheet3!#REF!</definedName>
    <definedName name="_993___________________________________________________________________________S" hidden="1">#REF!</definedName>
    <definedName name="_994_______________________________________________________________________________________________________________________________________________________0\SM">'[4]#REF'!#REF!</definedName>
    <definedName name="_994___________________________________________________________________________S" hidden="1">[3]Sheet3!#REF!</definedName>
    <definedName name="_995___________________________________________________________________________S" hidden="1">#REF!</definedName>
    <definedName name="_996_____________________________________________________________________________________________________________________________________________________0_0__123Grap" hidden="1">[1]공문!#REF!</definedName>
    <definedName name="_996__________________________________________________________________________\LA">'[2]#REF'!#REF!</definedName>
    <definedName name="_997__________________________________________________________________________\MID">'[2]#REF'!#REF!</definedName>
    <definedName name="_998_____________________________________________________________________________________________________________________________________________________0_0_F" hidden="1">[3]Sheet3!#REF!</definedName>
    <definedName name="_998__________________________________________________________________________\SM">'[2]#REF'!#REF!</definedName>
    <definedName name="_999_________________________________________________________________________0_F" hidden="1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6">#REF!</definedName>
    <definedName name="_A7">#REF!</definedName>
    <definedName name="_A8">#REF!</definedName>
    <definedName name="_EE1" localSheetId="2" hidden="1">{#N/A,#N/A,FALSE,"단가표지"}</definedName>
    <definedName name="_EE1" hidden="1">{#N/A,#N/A,FALSE,"단가표지"}</definedName>
    <definedName name="_Fill" hidden="1">[5]대운산출!#REF!</definedName>
    <definedName name="_gh1">#N/A</definedName>
    <definedName name="_K1">#REF!</definedName>
    <definedName name="_K3">#REF!</definedName>
    <definedName name="_K6">#REF!</definedName>
    <definedName name="_Key1" hidden="1">#REF!</definedName>
    <definedName name="_Key2" hidden="1">#REF!</definedName>
    <definedName name="_Order1" hidden="1">1</definedName>
    <definedName name="_Order2" hidden="1">255</definedName>
    <definedName name="_p2">#REF!</definedName>
    <definedName name="_P22">#REF!</definedName>
    <definedName name="_P31">#REF!</definedName>
    <definedName name="_P33">#REF!</definedName>
    <definedName name="_R10㎝">#REF!</definedName>
    <definedName name="_R12㎝">#REF!</definedName>
    <definedName name="_R15㎝">#REF!</definedName>
    <definedName name="_R18㎝">#REF!</definedName>
    <definedName name="_R20㎝">#REF!</definedName>
    <definedName name="_R25㎝">#REF!</definedName>
    <definedName name="_R30㎝">#REF!</definedName>
    <definedName name="_R4㎝이하">#REF!</definedName>
    <definedName name="_R5㎝">#REF!</definedName>
    <definedName name="_R6㎝">#REF!</definedName>
    <definedName name="_R7㎝">#REF!</definedName>
    <definedName name="_R8㎝">#REF!</definedName>
    <definedName name="_Sort" hidden="1">#REF!</definedName>
    <definedName name="_V1">#REF!</definedName>
    <definedName name="_V2">#REF!</definedName>
    <definedName name="_V3">#REF!</definedName>
    <definedName name="_V4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p">#N/A</definedName>
    <definedName name="a" localSheetId="2">#REF!</definedName>
    <definedName name="a">[6]말뚝물량!$D$10</definedName>
    <definedName name="a_1">#REF!</definedName>
    <definedName name="aaa">[7]별표집계!#REF!</definedName>
    <definedName name="AFTER">#REF!</definedName>
    <definedName name="ag">#REF!</definedName>
    <definedName name="agdump">#REF!</definedName>
    <definedName name="age">#REF!</definedName>
    <definedName name="agedum">#REF!</definedName>
    <definedName name="agedump">#REF!</definedName>
    <definedName name="agen">#REF!</definedName>
    <definedName name="agencydump">#REF!</definedName>
    <definedName name="AGENCYLY">#REF!</definedName>
    <definedName name="AGENCYPLAN">#REF!</definedName>
    <definedName name="B">#REF!</definedName>
    <definedName name="B10㎝">#REF!</definedName>
    <definedName name="B12㎝">#REF!</definedName>
    <definedName name="B15㎝">#REF!</definedName>
    <definedName name="B18㎝">#REF!</definedName>
    <definedName name="B20㎝">#REF!</definedName>
    <definedName name="B25㎝">#REF!</definedName>
    <definedName name="B30㎝">#REF!</definedName>
    <definedName name="B4㎝이하">#REF!</definedName>
    <definedName name="B5㎝">#REF!</definedName>
    <definedName name="B6㎝">#REF!</definedName>
    <definedName name="B7㎝">#REF!</definedName>
    <definedName name="B8㎝">#REF!</definedName>
    <definedName name="bb">[6]말뚝물량!$D$11</definedName>
    <definedName name="BBB">#REF!</definedName>
    <definedName name="BEFORE">#REF!</definedName>
    <definedName name="C_">#N/A</definedName>
    <definedName name="ca">#REF!</definedName>
    <definedName name="CalcAgencyPrice">#REF!</definedName>
    <definedName name="co">#REF!</definedName>
    <definedName name="Commission">#REF!</definedName>
    <definedName name="CPU시험기사">#REF!</definedName>
    <definedName name="D">#REF!</definedName>
    <definedName name="da">#REF!</definedName>
    <definedName name="daewk">#REF!</definedName>
    <definedName name="dar">#REF!</definedName>
    <definedName name="darw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_xlnm.Database" localSheetId="2">#REF!</definedName>
    <definedName name="_xlnm.Database">#REF!</definedName>
    <definedName name="database2" localSheetId="2">#REF!</definedName>
    <definedName name="database2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dddd">#REF!</definedName>
    <definedName name="dddddd">#REF!</definedName>
    <definedName name="Dealer">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umppr">#REF!</definedName>
    <definedName name="e">#REF!</definedName>
    <definedName name="ft">[6]말뚝물량!#REF!</definedName>
    <definedName name="GrphActSales">#REF!</definedName>
    <definedName name="GrphActStk">#REF!</definedName>
    <definedName name="GrphPlanSales">#REF!</definedName>
    <definedName name="GrphTgtStk">#REF!</definedName>
    <definedName name="H">[6]말뚝물량!$D$12</definedName>
    <definedName name="H_W설치기사">#REF!</definedName>
    <definedName name="H_W시험기사">#REF!</definedName>
    <definedName name="H1.0m이하">#REF!</definedName>
    <definedName name="H1.2m">#REF!</definedName>
    <definedName name="H1.5m">#REF!</definedName>
    <definedName name="H1.8m">#REF!</definedName>
    <definedName name="H2.0m">#REF!</definedName>
    <definedName name="H2.5m">#REF!</definedName>
    <definedName name="H3.0m">#REF!</definedName>
    <definedName name="H3.5m">#REF!</definedName>
    <definedName name="H4.0m">#REF!</definedName>
    <definedName name="H4.5m">#REF!</definedName>
    <definedName name="H5.0m">#REF!</definedName>
    <definedName name="HH">[8]정부노임단가!$A$5:$F$215</definedName>
    <definedName name="hyundai">#REF!</definedName>
    <definedName name="IELWSALES">#REF!</definedName>
    <definedName name="IELYSALES">#REF!</definedName>
    <definedName name="IEPLANSALES">#REF!</definedName>
    <definedName name="IESP">#REF!</definedName>
    <definedName name="IntFreeCred">#REF!</definedName>
    <definedName name="JH">[9]정부노임단가!$A$5:$F$215</definedName>
    <definedName name="JJ">[10]정부노임단가!$A$5:$F$215</definedName>
    <definedName name="KK">[9]정부노임단가!$A$5:$F$215</definedName>
    <definedName name="la">#REF!</definedName>
    <definedName name="lb">#REF!</definedName>
    <definedName name="lc">#REF!</definedName>
    <definedName name="ld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RGINPLAN">#REF!</definedName>
    <definedName name="MARGINPROJ">#REF!</definedName>
    <definedName name="PRDump">#REF!</definedName>
    <definedName name="PRICE1">#REF!</definedName>
    <definedName name="PRICE2">#REF!</definedName>
    <definedName name="_xlnm.Print_Area" localSheetId="4">공종별내역서!$A$1:$M$818</definedName>
    <definedName name="_xlnm.Print_Area" localSheetId="3">공종별집계표!$A$1:$M$44</definedName>
    <definedName name="_xlnm.Print_Area" localSheetId="1">원가계산서!$A$1:$G$28</definedName>
    <definedName name="_xlnm.Print_Area" localSheetId="2">'총괄표 '!$A$1:$L$30</definedName>
    <definedName name="_xlnm.Print_Area" localSheetId="0">표지!$A$1:$N$50</definedName>
    <definedName name="_xlnm.Print_Area">#REF!</definedName>
    <definedName name="PRINT_AREA_MI">#REF!</definedName>
    <definedName name="PRINT_AREA_MI1">#REF!</definedName>
    <definedName name="print_title" localSheetId="2">#REF!</definedName>
    <definedName name="print_title">#REF!</definedName>
    <definedName name="_xlnm.Print_Titles" localSheetId="4">공종별내역서!$1:$3</definedName>
    <definedName name="_xlnm.Print_Titles" localSheetId="3">공종별집계표!$1:$4</definedName>
    <definedName name="_xlnm.Print_Titles">[11]내역서!#REF!</definedName>
    <definedName name="PRINT_TITLES_MI">[11]내역서!#REF!</definedName>
    <definedName name="printer" localSheetId="2">#REF!</definedName>
    <definedName name="printer">#REF!</definedName>
    <definedName name="PRINTER_AREA" localSheetId="2">#REF!</definedName>
    <definedName name="PRINTER_AREA">#REF!</definedName>
    <definedName name="printer_Titles" localSheetId="2">#REF!</definedName>
    <definedName name="printer_Titles">#REF!</definedName>
    <definedName name="printer_ttitle" localSheetId="2">#REF!</definedName>
    <definedName name="printer_ttitle">#REF!</definedName>
    <definedName name="q">#REF!</definedName>
    <definedName name="RawAgencyPrice">#REF!</definedName>
    <definedName name="RBData">#REF!</definedName>
    <definedName name="_xlnm.Recorder">#REF!</definedName>
    <definedName name="Reselects">#REF!</definedName>
    <definedName name="s">#REF!</definedName>
    <definedName name="S_W시험기사">#REF!</definedName>
    <definedName name="SALESPLAN">#REF!</definedName>
    <definedName name="t">[6]말뚝물량!$D$14</definedName>
    <definedName name="Table">#REF!</definedName>
    <definedName name="Table1">#REF!</definedName>
    <definedName name="tc">[6]말뚝물량!#REF!</definedName>
    <definedName name="text1">[12]가도공!#REF!</definedName>
    <definedName name="total">#REF!</definedName>
    <definedName name="Vc">#REF!</definedName>
    <definedName name="Vl">#REF!</definedName>
    <definedName name="Vw">#REF!</definedName>
    <definedName name="w">#REF!</definedName>
    <definedName name="x">#REF!</definedName>
    <definedName name="z">#REF!</definedName>
    <definedName name="갱부">#REF!</definedName>
    <definedName name="건설기계운전기사">#REF!</definedName>
    <definedName name="건설기계운전조수">#REF!</definedName>
    <definedName name="건설기계조장">#REF!</definedName>
    <definedName name="건축목공">#REF!</definedName>
    <definedName name="견출공">#REF!</definedName>
    <definedName name="경영" localSheetId="2">BlankMacro1</definedName>
    <definedName name="경영">BlankMacro1</definedName>
    <definedName name="계장공">#REF!</definedName>
    <definedName name="고급선원">#REF!</definedName>
    <definedName name="고급원자력비파괴시_험공">#REF!</definedName>
    <definedName name="고압케이블전공">#REF!</definedName>
    <definedName name="공사계획" localSheetId="2">BlankMacro1</definedName>
    <definedName name="공사계획">BlankMacro1</definedName>
    <definedName name="공사예산">[13]말뚝물량!$D$10</definedName>
    <definedName name="공사전망" localSheetId="2">BlankMacro1</definedName>
    <definedName name="공사전망">BlankMacro1</definedName>
    <definedName name="관0.3_0.7">#REF!</definedName>
    <definedName name="관0.3m미만">#REF!</definedName>
    <definedName name="관0.8_1.1">#REF!</definedName>
    <definedName name="관1.2_1.5">#REF!</definedName>
    <definedName name="광케이블기사">#REF!</definedName>
    <definedName name="광통신기사">#REF!</definedName>
    <definedName name="구조물공">#REF!</definedName>
    <definedName name="궤도공">#REF!</definedName>
    <definedName name="금액" localSheetId="2">TRUNC(!#REF!*!$C1,1)</definedName>
    <definedName name="금액">TRUNC(!#REF!*!$C1,1)</definedName>
    <definedName name="기계공">#REF!</definedName>
    <definedName name="기계설치공">#REF!</definedName>
    <definedName name="내민식">[14]비탈면보호공수량산출!#REF!</definedName>
    <definedName name="내선전공">#REF!</definedName>
    <definedName name="내장공">#REF!</definedName>
    <definedName name="노무비">[15]인건비!$B$3:$C$41</definedName>
    <definedName name="노임">#REF!</definedName>
    <definedName name="노임단가">#REF!</definedName>
    <definedName name="노즐공">#REF!</definedName>
    <definedName name="닥트공">#REF!</definedName>
    <definedName name="도배공">#REF!</definedName>
    <definedName name="도장공">#REF!</definedName>
    <definedName name="도편수">#REF!</definedName>
    <definedName name="독산">#REF!</definedName>
    <definedName name="독야">#REF!</definedName>
    <definedName name="독평">#REF!</definedName>
    <definedName name="동발공_터널">#REF!</definedName>
    <definedName name="드잡이공">#REF!</definedName>
    <definedName name="락산">#REF!</definedName>
    <definedName name="락야">#REF!</definedName>
    <definedName name="락평">#REF!</definedName>
    <definedName name="ㅁ12">#REF!</definedName>
    <definedName name="ㅁ239">#REF!</definedName>
    <definedName name="ㅁ459">[16]일위대가!#REF!</definedName>
    <definedName name="목도">#REF!</definedName>
    <definedName name="목조각공">#REF!</definedName>
    <definedName name="무선안테나공">#REF!</definedName>
    <definedName name="미장공">#REF!</definedName>
    <definedName name="방부B형">[16]일위대가!#REF!</definedName>
    <definedName name="방부대형">[16]일위대가!#REF!</definedName>
    <definedName name="방부이각">[16]일위대가!#REF!</definedName>
    <definedName name="방수공">#REF!</definedName>
    <definedName name="배관공">#REF!</definedName>
    <definedName name="배수공">#REF!</definedName>
    <definedName name="배전전공">#REF!</definedName>
    <definedName name="배전활선전공">#REF!</definedName>
    <definedName name="번호">#REF!</definedName>
    <definedName name="벌목부">#REF!</definedName>
    <definedName name="벽돌_블럭_제작공">#REF!</definedName>
    <definedName name="변전전공">#REF!</definedName>
    <definedName name="변현평">#REF!</definedName>
    <definedName name="별지">[17]투찰!$B$2:$K$1722</definedName>
    <definedName name="보링공_지질조사">#REF!</definedName>
    <definedName name="보안공">#REF!</definedName>
    <definedName name="보온공">#REF!</definedName>
    <definedName name="보일러공">#REF!</definedName>
    <definedName name="보통선원">#REF!</definedName>
    <definedName name="보통인부">#REF!</definedName>
    <definedName name="부대공">#REF!</definedName>
    <definedName name="비계공">#REF!</definedName>
    <definedName name="ㅅㅅㅅㅅㅅ">[13]말뚝물량!$D$12</definedName>
    <definedName name="상급원자력기술자">#REF!</definedName>
    <definedName name="샷시공">#REF!</definedName>
    <definedName name="석공">#REF!</definedName>
    <definedName name="석조각공">#REF!</definedName>
    <definedName name="선부">#REF!</definedName>
    <definedName name="설계조정율">#REF!</definedName>
    <definedName name="설비" localSheetId="2" hidden="1">{#N/A,#N/A,FALSE,"단가표지"}</definedName>
    <definedName name="설비" hidden="1">{#N/A,#N/A,FALSE,"단가표지"}</definedName>
    <definedName name="송전전공">#REF!</definedName>
    <definedName name="송전활선전공">#REF!</definedName>
    <definedName name="수유방원가계산">[11]내역서!#REF!</definedName>
    <definedName name="수주실적" localSheetId="2">BlankMacro1</definedName>
    <definedName name="수주실적">BlankMacro1</definedName>
    <definedName name="시공측량사">#REF!</definedName>
    <definedName name="시공측량사조수">#REF!</definedName>
    <definedName name="시험보조수">#REF!</definedName>
    <definedName name="시험사1급">#REF!</definedName>
    <definedName name="시헙사2급">#REF!</definedName>
    <definedName name="신규단가발생년도">#REF!</definedName>
    <definedName name="심산">#REF!</definedName>
    <definedName name="심야">#REF!</definedName>
    <definedName name="심평">#REF!</definedName>
    <definedName name="연마공">#REF!</definedName>
    <definedName name="예산서">[18]수량산출서!$E$5</definedName>
    <definedName name="용접공_일반">#REF!</definedName>
    <definedName name="용접공_철도">#REF!</definedName>
    <definedName name="우산">#REF!</definedName>
    <definedName name="우수13">#REF!</definedName>
    <definedName name="우야">#REF!</definedName>
    <definedName name="우평">#REF!</definedName>
    <definedName name="운전사_기계">#REF!</definedName>
    <definedName name="운전사_운반차">#REF!</definedName>
    <definedName name="원자력계장공">#REF!</definedName>
    <definedName name="원자력기계설치공">#REF!</definedName>
    <definedName name="원자력기술자">#REF!</definedName>
    <definedName name="원자력덕트공">#REF!</definedName>
    <definedName name="원자력배관공">#REF!</definedName>
    <definedName name="원자력보온공">#REF!</definedName>
    <definedName name="원자력용접공">#REF!</definedName>
    <definedName name="원자력제관공">#REF!</definedName>
    <definedName name="원자력케이블전공">#REF!</definedName>
    <definedName name="원자력특별인부">#REF!</definedName>
    <definedName name="원자력품질관리사">#REF!</definedName>
    <definedName name="원자력플랜트전공">#REF!</definedName>
    <definedName name="위생공">#REF!</definedName>
    <definedName name="유리공">#REF!</definedName>
    <definedName name="이각A형">[16]일위대가!#REF!</definedName>
    <definedName name="이각B형">[19]일위대가!#REF!</definedName>
    <definedName name="작업반장">#REF!</definedName>
    <definedName name="잔토처리____________인력">[16]일위대가!#REF!</definedName>
    <definedName name="잠수부">#REF!</definedName>
    <definedName name="재료비">[20]단가대비표!$A$3:$L$52</definedName>
    <definedName name="저압케이블전공">#REF!</definedName>
    <definedName name="전기공사기사1급">#REF!</definedName>
    <definedName name="전기공사기사2급">#REF!</definedName>
    <definedName name="절단공">#REF!</definedName>
    <definedName name="제도사">#REF!</definedName>
    <definedName name="제철축로공">#REF!</definedName>
    <definedName name="조경공">#REF!</definedName>
    <definedName name="조력공">#REF!</definedName>
    <definedName name="조림인부">#REF!</definedName>
    <definedName name="조적공">#REF!</definedName>
    <definedName name="준설선기관사">#REF!</definedName>
    <definedName name="준설선기관장">#REF!</definedName>
    <definedName name="준설선선장">#REF!</definedName>
    <definedName name="준설선운전사">#REF!</definedName>
    <definedName name="준설선전기사">#REF!</definedName>
    <definedName name="줄눈공">#REF!</definedName>
    <definedName name="중급원자력기술자">#REF!</definedName>
    <definedName name="지붕잇기공">#REF!</definedName>
    <definedName name="지적기능사1급">#REF!</definedName>
    <definedName name="지적기능사2급">#REF!</definedName>
    <definedName name="지적기사1급">#REF!</definedName>
    <definedName name="지적기사2급">#REF!</definedName>
    <definedName name="직종명">#REF!</definedName>
    <definedName name="착암공">#REF!</definedName>
    <definedName name="창호목공">#REF!</definedName>
    <definedName name="철골공">#REF!</definedName>
    <definedName name="철공">#REF!</definedName>
    <definedName name="철근공">#REF!</definedName>
    <definedName name="철도신호공">#REF!</definedName>
    <definedName name="철판공">#REF!</definedName>
    <definedName name="측부">#REF!</definedName>
    <definedName name="치장벽돌공">#REF!</definedName>
    <definedName name="코킹공">#REF!</definedName>
    <definedName name="콘크리트공">#REF!</definedName>
    <definedName name="타일공">#REF!</definedName>
    <definedName name="템플리트모듈1" localSheetId="2">BlankMacro1</definedName>
    <definedName name="템플리트모듈1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2">BlankMacro1</definedName>
    <definedName name="템플리트모듈6">BlankMacro1</definedName>
    <definedName name="토공">#REF!</definedName>
    <definedName name="통신기능사">#REF!</definedName>
    <definedName name="통신기사1급">#REF!</definedName>
    <definedName name="통신기사2급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특고압케이블전공">#REF!</definedName>
    <definedName name="특급원자력비파괴시_험공">#REF!</definedName>
    <definedName name="특별손익2" localSheetId="2">BlankMacro1</definedName>
    <definedName name="특별손익2">BlankMacro1</definedName>
    <definedName name="특별인부">#REF!</definedName>
    <definedName name="특수비계공">#REF!</definedName>
    <definedName name="특수화공">#REF!</definedName>
    <definedName name="판넬조립공">#REF!</definedName>
    <definedName name="편지식">[14]비탈면보호공수량산출!#REF!</definedName>
    <definedName name="포">[21]수량산출서!$E$5</definedName>
    <definedName name="포설공">#REF!</definedName>
    <definedName name="포장공">#REF!</definedName>
    <definedName name="표준양식">#REF!</definedName>
    <definedName name="플랜트기계설치공">#REF!</definedName>
    <definedName name="플랜트배관공">#REF!</definedName>
    <definedName name="플랜트용접공">#REF!</definedName>
    <definedName name="플랜트전공">#REF!</definedName>
    <definedName name="플랜트제관공">#REF!</definedName>
    <definedName name="플랜트특수용접공">#REF!</definedName>
    <definedName name="한식목공">#REF!</definedName>
    <definedName name="한식목공조공">#REF!</definedName>
    <definedName name="한식미장공">#REF!</definedName>
    <definedName name="한식와공">#REF!</definedName>
    <definedName name="한식와공조공">#REF!</definedName>
    <definedName name="할석공">#REF!</definedName>
    <definedName name="함석공">#REF!</definedName>
    <definedName name="현도사">#REF!</definedName>
    <definedName name="현산">#REF!</definedName>
    <definedName name="현야">#REF!</definedName>
    <definedName name="현평">#REF!</definedName>
    <definedName name="형틀목공">#REF!</definedName>
    <definedName name="화공">#REF!</definedName>
    <definedName name="화약취급공">#REF!</definedName>
  </definedNames>
  <calcPr calcId="162913" iterate="1"/>
</workbook>
</file>

<file path=xl/calcChain.xml><?xml version="1.0" encoding="utf-8"?>
<calcChain xmlns="http://schemas.openxmlformats.org/spreadsheetml/2006/main">
  <c r="K37" i="16" l="1"/>
  <c r="I37" i="16"/>
  <c r="G37" i="16"/>
  <c r="E37" i="16"/>
  <c r="K31" i="16"/>
  <c r="K15" i="16"/>
  <c r="K14" i="16"/>
  <c r="J818" i="8" l="1"/>
  <c r="I43" i="9" s="1"/>
  <c r="J43" i="9" s="1"/>
  <c r="I19" i="16" s="1"/>
  <c r="J770" i="8"/>
  <c r="I41" i="9" s="1"/>
  <c r="J41" i="9" s="1"/>
  <c r="J626" i="8"/>
  <c r="I34" i="9" s="1"/>
  <c r="J34" i="9" s="1"/>
  <c r="I18" i="16" s="1"/>
  <c r="H626" i="8"/>
  <c r="G34" i="9" s="1"/>
  <c r="H34" i="9" s="1"/>
  <c r="G18" i="16" s="1"/>
  <c r="J434" i="8"/>
  <c r="I25" i="9" s="1"/>
  <c r="J25" i="9" s="1"/>
  <c r="I17" i="16" s="1"/>
  <c r="H434" i="8"/>
  <c r="G25" i="9" s="1"/>
  <c r="H25" i="9" s="1"/>
  <c r="G17" i="16" s="1"/>
  <c r="H386" i="8"/>
  <c r="G23" i="9" s="1"/>
  <c r="H23" i="9" s="1"/>
  <c r="J218" i="8"/>
  <c r="I15" i="9" s="1"/>
  <c r="J15" i="9" s="1"/>
  <c r="I16" i="16" s="1"/>
  <c r="H218" i="8"/>
  <c r="G15" i="9" s="1"/>
  <c r="H15" i="9" s="1"/>
  <c r="G16" i="16" s="1"/>
  <c r="J170" i="8"/>
  <c r="I13" i="9" s="1"/>
  <c r="J13" i="9" s="1"/>
  <c r="H170" i="8"/>
  <c r="G13" i="9" s="1"/>
  <c r="H13" i="9" s="1"/>
  <c r="F626" i="8"/>
  <c r="E34" i="9" s="1"/>
  <c r="H818" i="8"/>
  <c r="G43" i="9" s="1"/>
  <c r="H43" i="9" s="1"/>
  <c r="G19" i="16" s="1"/>
  <c r="J194" i="8" l="1"/>
  <c r="I14" i="9" s="1"/>
  <c r="J14" i="9" s="1"/>
  <c r="G23" i="16"/>
  <c r="I23" i="16"/>
  <c r="H770" i="8"/>
  <c r="G41" i="9" s="1"/>
  <c r="H41" i="9" s="1"/>
  <c r="L626" i="8"/>
  <c r="K34" i="9"/>
  <c r="F34" i="9"/>
  <c r="E18" i="16" s="1"/>
  <c r="K18" i="16" s="1"/>
  <c r="I30" i="16"/>
  <c r="H410" i="8"/>
  <c r="G24" i="9" s="1"/>
  <c r="H24" i="9" s="1"/>
  <c r="J410" i="8"/>
  <c r="I24" i="9" s="1"/>
  <c r="J24" i="9" s="1"/>
  <c r="J386" i="8"/>
  <c r="I23" i="9" s="1"/>
  <c r="J23" i="9" s="1"/>
  <c r="G30" i="16"/>
  <c r="H194" i="8"/>
  <c r="G14" i="9" s="1"/>
  <c r="H14" i="9" s="1"/>
  <c r="H578" i="8" l="1"/>
  <c r="G32" i="9" s="1"/>
  <c r="H32" i="9" s="1"/>
  <c r="L34" i="9"/>
  <c r="T34" i="9" s="1"/>
  <c r="H242" i="8"/>
  <c r="G17" i="9" s="1"/>
  <c r="H17" i="9" s="1"/>
  <c r="J242" i="8"/>
  <c r="I17" i="9" s="1"/>
  <c r="J17" i="9" s="1"/>
  <c r="H362" i="8"/>
  <c r="G22" i="9" s="1"/>
  <c r="H22" i="9" s="1"/>
  <c r="H146" i="8"/>
  <c r="G12" i="9" s="1"/>
  <c r="H12" i="9" s="1"/>
  <c r="J266" i="8" l="1"/>
  <c r="I18" i="9" s="1"/>
  <c r="J18" i="9" s="1"/>
  <c r="J674" i="8"/>
  <c r="I37" i="9" s="1"/>
  <c r="J37" i="9" s="1"/>
  <c r="H506" i="8"/>
  <c r="G29" i="9" s="1"/>
  <c r="H29" i="9" s="1"/>
  <c r="H698" i="8"/>
  <c r="G38" i="9" s="1"/>
  <c r="H38" i="9" s="1"/>
  <c r="J51" i="8"/>
  <c r="I8" i="9" s="1"/>
  <c r="J8" i="9" s="1"/>
  <c r="J482" i="8"/>
  <c r="I28" i="9" s="1"/>
  <c r="J28" i="9" s="1"/>
  <c r="H602" i="8"/>
  <c r="G33" i="9" s="1"/>
  <c r="H33" i="9" s="1"/>
  <c r="J794" i="8"/>
  <c r="I42" i="9" s="1"/>
  <c r="J42" i="9" s="1"/>
  <c r="J650" i="8"/>
  <c r="I36" i="9" s="1"/>
  <c r="J36" i="9" s="1"/>
  <c r="J602" i="8"/>
  <c r="I33" i="9" s="1"/>
  <c r="J33" i="9" s="1"/>
  <c r="F170" i="8"/>
  <c r="E13" i="9" s="1"/>
  <c r="L170" i="8"/>
  <c r="H290" i="8"/>
  <c r="G19" i="9" s="1"/>
  <c r="H19" i="9" s="1"/>
  <c r="F434" i="8"/>
  <c r="E25" i="9" s="1"/>
  <c r="L434" i="8"/>
  <c r="F386" i="8"/>
  <c r="E23" i="9" s="1"/>
  <c r="L386" i="8"/>
  <c r="F818" i="8"/>
  <c r="E43" i="9" s="1"/>
  <c r="L818" i="8"/>
  <c r="F218" i="8"/>
  <c r="E15" i="9" s="1"/>
  <c r="L218" i="8"/>
  <c r="L194" i="8"/>
  <c r="F194" i="8"/>
  <c r="E14" i="9" s="1"/>
  <c r="F770" i="8"/>
  <c r="E41" i="9" s="1"/>
  <c r="L770" i="8"/>
  <c r="L410" i="8"/>
  <c r="F410" i="8"/>
  <c r="E24" i="9" s="1"/>
  <c r="H74" i="8"/>
  <c r="G9" i="9" s="1"/>
  <c r="H9" i="9" s="1"/>
  <c r="H794" i="8"/>
  <c r="G42" i="9" s="1"/>
  <c r="H42" i="9" s="1"/>
  <c r="H122" i="8" l="1"/>
  <c r="G11" i="9" s="1"/>
  <c r="H11" i="9" s="1"/>
  <c r="H554" i="8"/>
  <c r="G31" i="9" s="1"/>
  <c r="H31" i="9" s="1"/>
  <c r="H746" i="8"/>
  <c r="G40" i="9" s="1"/>
  <c r="H40" i="9" s="1"/>
  <c r="H338" i="8"/>
  <c r="G21" i="9" s="1"/>
  <c r="H21" i="9" s="1"/>
  <c r="J746" i="8"/>
  <c r="I40" i="9" s="1"/>
  <c r="J40" i="9" s="1"/>
  <c r="J554" i="8"/>
  <c r="I31" i="9" s="1"/>
  <c r="J31" i="9" s="1"/>
  <c r="F23" i="9"/>
  <c r="L23" i="9" s="1"/>
  <c r="K23" i="9"/>
  <c r="F13" i="9"/>
  <c r="L13" i="9" s="1"/>
  <c r="K13" i="9"/>
  <c r="F242" i="8"/>
  <c r="E17" i="9" s="1"/>
  <c r="L242" i="8"/>
  <c r="K15" i="9"/>
  <c r="F15" i="9"/>
  <c r="F24" i="9"/>
  <c r="L24" i="9" s="1"/>
  <c r="K24" i="9"/>
  <c r="F41" i="9"/>
  <c r="L41" i="9" s="1"/>
  <c r="K41" i="9"/>
  <c r="K14" i="9"/>
  <c r="F14" i="9"/>
  <c r="L14" i="9" s="1"/>
  <c r="K43" i="9"/>
  <c r="F43" i="9"/>
  <c r="F25" i="9"/>
  <c r="K25" i="9"/>
  <c r="H722" i="8" l="1"/>
  <c r="G39" i="9" s="1"/>
  <c r="H39" i="9" s="1"/>
  <c r="H530" i="8"/>
  <c r="G30" i="9" s="1"/>
  <c r="H30" i="9" s="1"/>
  <c r="H314" i="8"/>
  <c r="G20" i="9" s="1"/>
  <c r="H20" i="9" s="1"/>
  <c r="H98" i="8"/>
  <c r="G10" i="9" s="1"/>
  <c r="H10" i="9" s="1"/>
  <c r="J314" i="8"/>
  <c r="I20" i="9" s="1"/>
  <c r="J20" i="9" s="1"/>
  <c r="J722" i="8"/>
  <c r="I39" i="9" s="1"/>
  <c r="J39" i="9" s="1"/>
  <c r="J98" i="8"/>
  <c r="I10" i="9" s="1"/>
  <c r="J10" i="9" s="1"/>
  <c r="E19" i="16"/>
  <c r="K19" i="16" s="1"/>
  <c r="L43" i="9"/>
  <c r="T43" i="9" s="1"/>
  <c r="E16" i="16"/>
  <c r="L15" i="9"/>
  <c r="T15" i="9" s="1"/>
  <c r="J122" i="8"/>
  <c r="I11" i="9" s="1"/>
  <c r="J11" i="9" s="1"/>
  <c r="E17" i="16"/>
  <c r="K17" i="16" s="1"/>
  <c r="L25" i="9"/>
  <c r="T25" i="9" s="1"/>
  <c r="F17" i="9"/>
  <c r="K17" i="9"/>
  <c r="J530" i="8"/>
  <c r="I30" i="9" s="1"/>
  <c r="J30" i="9" s="1"/>
  <c r="J338" i="8"/>
  <c r="I21" i="9" s="1"/>
  <c r="J21" i="9" s="1"/>
  <c r="F674" i="8" l="1"/>
  <c r="E37" i="9" s="1"/>
  <c r="H27" i="8"/>
  <c r="G7" i="9" s="1"/>
  <c r="H7" i="9" s="1"/>
  <c r="L17" i="9"/>
  <c r="J506" i="8"/>
  <c r="I29" i="9" s="1"/>
  <c r="J29" i="9" s="1"/>
  <c r="H650" i="8"/>
  <c r="G36" i="9" s="1"/>
  <c r="H36" i="9" s="1"/>
  <c r="J698" i="8"/>
  <c r="I38" i="9" s="1"/>
  <c r="J38" i="9" s="1"/>
  <c r="I35" i="9" s="1"/>
  <c r="J35" i="9" s="1"/>
  <c r="I9" i="16" s="1"/>
  <c r="F482" i="8"/>
  <c r="E28" i="9" s="1"/>
  <c r="E23" i="16"/>
  <c r="K16" i="16"/>
  <c r="K23" i="16" s="1"/>
  <c r="E6" i="15" s="1"/>
  <c r="E30" i="16"/>
  <c r="K30" i="16"/>
  <c r="H458" i="8"/>
  <c r="G27" i="9" s="1"/>
  <c r="H27" i="9" s="1"/>
  <c r="L482" i="8" l="1"/>
  <c r="L674" i="8"/>
  <c r="H482" i="8"/>
  <c r="G28" i="9" s="1"/>
  <c r="H28" i="9" s="1"/>
  <c r="G26" i="9" s="1"/>
  <c r="H26" i="9" s="1"/>
  <c r="G8" i="16" s="1"/>
  <c r="F698" i="8"/>
  <c r="E38" i="9" s="1"/>
  <c r="L698" i="8"/>
  <c r="L266" i="8"/>
  <c r="F266" i="8"/>
  <c r="E18" i="9" s="1"/>
  <c r="L51" i="8"/>
  <c r="F51" i="8"/>
  <c r="E8" i="9" s="1"/>
  <c r="F28" i="9"/>
  <c r="F37" i="9"/>
  <c r="F578" i="8"/>
  <c r="E32" i="9" s="1"/>
  <c r="H266" i="8"/>
  <c r="G18" i="9" s="1"/>
  <c r="H18" i="9" s="1"/>
  <c r="H51" i="8"/>
  <c r="G8" i="9" s="1"/>
  <c r="H8" i="9" s="1"/>
  <c r="G6" i="9" s="1"/>
  <c r="L506" i="8"/>
  <c r="F506" i="8"/>
  <c r="E29" i="9" s="1"/>
  <c r="H674" i="8" l="1"/>
  <c r="G37" i="9" s="1"/>
  <c r="H37" i="9" s="1"/>
  <c r="G35" i="9" s="1"/>
  <c r="H35" i="9" s="1"/>
  <c r="G9" i="16" s="1"/>
  <c r="K28" i="9"/>
  <c r="L28" i="9"/>
  <c r="H6" i="9"/>
  <c r="G6" i="16" s="1"/>
  <c r="F74" i="8"/>
  <c r="E9" i="9" s="1"/>
  <c r="F9" i="9" s="1"/>
  <c r="G16" i="9"/>
  <c r="H16" i="9" s="1"/>
  <c r="J146" i="8"/>
  <c r="I12" i="9" s="1"/>
  <c r="J12" i="9" s="1"/>
  <c r="J362" i="8"/>
  <c r="I22" i="9" s="1"/>
  <c r="J22" i="9" s="1"/>
  <c r="L602" i="8"/>
  <c r="F602" i="8"/>
  <c r="E33" i="9" s="1"/>
  <c r="F29" i="9"/>
  <c r="L29" i="9" s="1"/>
  <c r="K29" i="9"/>
  <c r="F8" i="9"/>
  <c r="L8" i="9" s="1"/>
  <c r="K8" i="9"/>
  <c r="F290" i="8"/>
  <c r="E19" i="9" s="1"/>
  <c r="F18" i="9"/>
  <c r="K18" i="9"/>
  <c r="F32" i="9"/>
  <c r="L794" i="8"/>
  <c r="F794" i="8"/>
  <c r="E42" i="9" s="1"/>
  <c r="F38" i="9"/>
  <c r="L38" i="9" s="1"/>
  <c r="K38" i="9"/>
  <c r="L37" i="9" l="1"/>
  <c r="K37" i="9"/>
  <c r="G7" i="16"/>
  <c r="G13" i="16" s="1"/>
  <c r="E8" i="15" s="1"/>
  <c r="G5" i="9"/>
  <c r="H5" i="9" s="1"/>
  <c r="H44" i="9" s="1"/>
  <c r="L18" i="9"/>
  <c r="F19" i="9"/>
  <c r="F42" i="9"/>
  <c r="L42" i="9" s="1"/>
  <c r="K42" i="9"/>
  <c r="F33" i="9"/>
  <c r="L33" i="9" s="1"/>
  <c r="K33" i="9"/>
  <c r="E15" i="15" l="1"/>
  <c r="E14" i="15"/>
  <c r="E16" i="15" s="1"/>
  <c r="J578" i="8"/>
  <c r="I32" i="9" s="1"/>
  <c r="L578" i="8"/>
  <c r="L554" i="8"/>
  <c r="F554" i="8"/>
  <c r="E31" i="9" s="1"/>
  <c r="F362" i="8"/>
  <c r="E22" i="9" s="1"/>
  <c r="L362" i="8"/>
  <c r="J290" i="8"/>
  <c r="I19" i="9" s="1"/>
  <c r="L290" i="8"/>
  <c r="L746" i="8"/>
  <c r="F746" i="8"/>
  <c r="E40" i="9" s="1"/>
  <c r="J74" i="8"/>
  <c r="I9" i="9" s="1"/>
  <c r="L74" i="8"/>
  <c r="E9" i="15"/>
  <c r="E10" i="15" s="1"/>
  <c r="L122" i="8"/>
  <c r="F122" i="8"/>
  <c r="E11" i="9" s="1"/>
  <c r="F146" i="8"/>
  <c r="E12" i="9" s="1"/>
  <c r="L146" i="8"/>
  <c r="L338" i="8"/>
  <c r="F338" i="8"/>
  <c r="E21" i="9" s="1"/>
  <c r="J27" i="8"/>
  <c r="I7" i="9" s="1"/>
  <c r="J7" i="9" s="1"/>
  <c r="J458" i="8"/>
  <c r="I27" i="9" s="1"/>
  <c r="J27" i="9" s="1"/>
  <c r="L458" i="8" l="1"/>
  <c r="F458" i="8"/>
  <c r="E27" i="9" s="1"/>
  <c r="J9" i="9"/>
  <c r="L9" i="9" s="1"/>
  <c r="K9" i="9"/>
  <c r="K12" i="9"/>
  <c r="F12" i="9"/>
  <c r="L12" i="9" s="1"/>
  <c r="F22" i="9"/>
  <c r="L22" i="9" s="1"/>
  <c r="K22" i="9"/>
  <c r="F21" i="9"/>
  <c r="L21" i="9" s="1"/>
  <c r="K21" i="9"/>
  <c r="F11" i="9"/>
  <c r="L11" i="9" s="1"/>
  <c r="K11" i="9"/>
  <c r="J19" i="9"/>
  <c r="I16" i="9" s="1"/>
  <c r="K19" i="9"/>
  <c r="F31" i="9"/>
  <c r="L31" i="9" s="1"/>
  <c r="K31" i="9"/>
  <c r="F40" i="9"/>
  <c r="L40" i="9" s="1"/>
  <c r="K40" i="9"/>
  <c r="F650" i="8"/>
  <c r="E36" i="9" s="1"/>
  <c r="L650" i="8"/>
  <c r="E12" i="15"/>
  <c r="E13" i="15"/>
  <c r="F27" i="8"/>
  <c r="E7" i="9" s="1"/>
  <c r="E5" i="15" s="1"/>
  <c r="L27" i="8"/>
  <c r="J32" i="9"/>
  <c r="L32" i="9" s="1"/>
  <c r="K32" i="9"/>
  <c r="I6" i="9" l="1"/>
  <c r="J6" i="9" s="1"/>
  <c r="I6" i="16" s="1"/>
  <c r="J16" i="9"/>
  <c r="I7" i="16" s="1"/>
  <c r="L19" i="9"/>
  <c r="F27" i="9"/>
  <c r="K27" i="9"/>
  <c r="K7" i="9"/>
  <c r="F7" i="9"/>
  <c r="F36" i="9"/>
  <c r="K36" i="9"/>
  <c r="I26" i="9"/>
  <c r="J26" i="9" s="1"/>
  <c r="I8" i="16" s="1"/>
  <c r="L27" i="9" l="1"/>
  <c r="L36" i="9"/>
  <c r="L7" i="9"/>
  <c r="I5" i="9"/>
  <c r="J5" i="9" s="1"/>
  <c r="J44" i="9" s="1"/>
  <c r="I13" i="16"/>
  <c r="E11" i="15" s="1"/>
  <c r="F722" i="8" l="1"/>
  <c r="E39" i="9" s="1"/>
  <c r="L98" i="8"/>
  <c r="L530" i="8"/>
  <c r="L314" i="8"/>
  <c r="F314" i="8"/>
  <c r="E20" i="9" s="1"/>
  <c r="L722" i="8" l="1"/>
  <c r="F98" i="8"/>
  <c r="E10" i="9" s="1"/>
  <c r="K10" i="9" s="1"/>
  <c r="F530" i="8"/>
  <c r="E30" i="9" s="1"/>
  <c r="K30" i="9" s="1"/>
  <c r="F20" i="9"/>
  <c r="E16" i="9" s="1"/>
  <c r="K20" i="9"/>
  <c r="F39" i="9"/>
  <c r="K39" i="9"/>
  <c r="F10" i="9" l="1"/>
  <c r="E6" i="9" s="1"/>
  <c r="F30" i="9"/>
  <c r="L30" i="9" s="1"/>
  <c r="L20" i="9"/>
  <c r="L39" i="9"/>
  <c r="E35" i="9"/>
  <c r="L10" i="9" l="1"/>
  <c r="E26" i="9"/>
  <c r="K26" i="9" s="1"/>
  <c r="K35" i="9"/>
  <c r="F35" i="9"/>
  <c r="K6" i="9"/>
  <c r="F6" i="9"/>
  <c r="F16" i="9"/>
  <c r="K16" i="9"/>
  <c r="F26" i="9" l="1"/>
  <c r="L26" i="9" s="1"/>
  <c r="L16" i="9"/>
  <c r="E7" i="16"/>
  <c r="K7" i="16" s="1"/>
  <c r="E6" i="16"/>
  <c r="L6" i="9"/>
  <c r="L35" i="9"/>
  <c r="E9" i="16"/>
  <c r="K9" i="16" s="1"/>
  <c r="E5" i="9" l="1"/>
  <c r="F5" i="9" s="1"/>
  <c r="E8" i="16"/>
  <c r="K8" i="16" s="1"/>
  <c r="K6" i="16"/>
  <c r="K13" i="16" l="1"/>
  <c r="E13" i="16"/>
  <c r="E4" i="15" s="1"/>
  <c r="E7" i="15" s="1"/>
  <c r="K5" i="9"/>
  <c r="F44" i="9"/>
  <c r="L5" i="9"/>
  <c r="L44" i="9" s="1"/>
  <c r="J4" i="15" l="1"/>
  <c r="J9" i="15"/>
  <c r="E18" i="15"/>
  <c r="E20" i="15"/>
  <c r="E19" i="15"/>
  <c r="E21" i="15" l="1"/>
  <c r="E22" i="15" s="1"/>
  <c r="E23" i="15" s="1"/>
  <c r="E24" i="15" s="1"/>
  <c r="E25" i="15" l="1"/>
</calcChain>
</file>

<file path=xl/sharedStrings.xml><?xml version="1.0" encoding="utf-8"?>
<sst xmlns="http://schemas.openxmlformats.org/spreadsheetml/2006/main" count="2759" uniqueCount="605">
  <si>
    <t>공 종 별 집 계 표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</si>
  <si>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</si>
  <si>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</si>
  <si>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</si>
  <si>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</si>
  <si>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</si>
  <si>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</si>
  <si>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</si>
  <si>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</si>
  <si>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</si>
  <si>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</si>
  <si>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</si>
  <si>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</si>
  <si>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</si>
  <si>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</si>
  <si>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</si>
  <si>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</si>
  <si>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</si>
  <si>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</si>
  <si>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</si>
  <si>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</si>
  <si>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</si>
  <si>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</si>
  <si>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</si>
  <si>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</si>
  <si>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</si>
  <si>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</si>
  <si>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</si>
  <si>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</si>
  <si>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</si>
  <si>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</si>
  <si>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</si>
  <si>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</si>
  <si>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</si>
  <si>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</si>
  <si>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</si>
  <si>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</si>
  <si>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</si>
  <si>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</si>
  <si>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</si>
  <si>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</si>
  <si>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</si>
  <si>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</si>
  <si>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</si>
  <si>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</si>
  <si>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</si>
  <si>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</si>
  <si>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</si>
  <si>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</si>
  <si>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</si>
  <si>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/>
  </si>
  <si>
    <t>01</t>
  </si>
  <si>
    <t>1</t>
  </si>
  <si>
    <t>0101  ■ 회 의 실-1</t>
  </si>
  <si>
    <t>0101</t>
  </si>
  <si>
    <t>010101  가 설 공 사</t>
  </si>
  <si>
    <t>010101</t>
  </si>
  <si>
    <t>T:50MM</t>
  </si>
  <si>
    <t>M2</t>
  </si>
  <si>
    <t>55BC12188DCF5132A16D0E80C997</t>
  </si>
  <si>
    <t>T</t>
  </si>
  <si>
    <t>F</t>
  </si>
  <si>
    <t>01010155BC12188DCF5132A16D0E80C997</t>
  </si>
  <si>
    <t>H:5.0 이하</t>
  </si>
  <si>
    <t>55BC12188DCF5132A16D0E80C99D</t>
  </si>
  <si>
    <t>01010155BC12188DCF5132A16D0E80C99D</t>
  </si>
  <si>
    <t>55BC12188DCF5132A16D0E80C99E</t>
  </si>
  <si>
    <t>01010155BC12188DCF5132A16D0E80C99E</t>
  </si>
  <si>
    <t>900*2400</t>
  </si>
  <si>
    <t>개소</t>
  </si>
  <si>
    <t>55BC12188DCF5132A16D0E80C983</t>
  </si>
  <si>
    <t>01010155BC12188DCF5132A16D0E80C983</t>
  </si>
  <si>
    <t>1단(2m), 3개월</t>
  </si>
  <si>
    <t>1대</t>
  </si>
  <si>
    <t>55BC12188DCF40C2B16AAC289295</t>
  </si>
  <si>
    <t>01010155BC12188DCF40C2B16AAC289295</t>
  </si>
  <si>
    <t>전체</t>
  </si>
  <si>
    <t>55BC12188DCF40C2B16C5D58DE35</t>
  </si>
  <si>
    <t>01010155BC12188DCF40C2B16C5D58DE35</t>
  </si>
  <si>
    <t>준공청소</t>
  </si>
  <si>
    <t>55BC12188DCF40C2B16C5D58DE37</t>
  </si>
  <si>
    <t>01010155BC12188DCF40C2B16C5D58DE37</t>
  </si>
  <si>
    <t>[ 합           계 ]</t>
  </si>
  <si>
    <t>TOTAL</t>
  </si>
  <si>
    <t>010102  철 거 공 사</t>
  </si>
  <si>
    <t>010102</t>
  </si>
  <si>
    <t>바닥</t>
  </si>
  <si>
    <t>55BC12188DCF51D2A16B3928C9C7</t>
  </si>
  <si>
    <t>01010255BC12188DCF51D2A16B3928C9C7</t>
  </si>
  <si>
    <t>천정</t>
  </si>
  <si>
    <t>55BC12188DCF51D2A16B3BD54548</t>
  </si>
  <si>
    <t>55BC12188DCF51D2A16B3BD54397</t>
  </si>
  <si>
    <t>01010255BC12188DCF51D2A16B3BD54397</t>
  </si>
  <si>
    <t>55BC12188DCF51D2A16B38012BD4</t>
  </si>
  <si>
    <t>01010255BC12188DCF51D2A16B38012BD4</t>
  </si>
  <si>
    <t>55BC12188DCF51D2A16B38012BD0</t>
  </si>
  <si>
    <t>01010255BC12188DCF51D2A16B38012BD0</t>
  </si>
  <si>
    <t>55BC12188DCF51D2A16B38012BD5</t>
  </si>
  <si>
    <t>01010255BC12188DCF51D2A16B38012BD5</t>
  </si>
  <si>
    <t>900*3000</t>
  </si>
  <si>
    <t>55BC12188DCF51D2A16B3D833C3A</t>
  </si>
  <si>
    <t>01010255BC12188DCF51D2A16B3D833C3A</t>
  </si>
  <si>
    <t>집기이설</t>
  </si>
  <si>
    <t>SET</t>
  </si>
  <si>
    <t>55BC12188DCF51D2A16B3BD54660</t>
  </si>
  <si>
    <t>01010255BC12188DCF51D2A16B3BD54660</t>
  </si>
  <si>
    <t>폐자재처리수수료</t>
  </si>
  <si>
    <t>건축폐재류</t>
  </si>
  <si>
    <t>TON</t>
  </si>
  <si>
    <t>55BC12188DCF51D2A1690B2CAF0F</t>
  </si>
  <si>
    <t>01010255BC12188DCF51D2A1690B2CAF0F</t>
  </si>
  <si>
    <t>건설폐기물상차·운반비-중간처리</t>
  </si>
  <si>
    <t>16톤압롤트럭, 30km</t>
  </si>
  <si>
    <t>55BC12188DCF51D2A1690A03D712</t>
  </si>
  <si>
    <t>01010255BC12188DCF51D2A1690A03D712</t>
  </si>
  <si>
    <t>010103  수 장 공 사</t>
  </si>
  <si>
    <t>010103</t>
  </si>
  <si>
    <t>데코타일 깔기</t>
  </si>
  <si>
    <t>비닐타일, 3*450*450mm</t>
  </si>
  <si>
    <t>55BC12188DCF5132A16ABFC0273C</t>
  </si>
  <si>
    <t>01010355BC12188DCF5132A16ABFC0273C</t>
  </si>
  <si>
    <t>55BC12188DCF404261605C49C623</t>
  </si>
  <si>
    <t>01010355BC12188DCF404261605C49C623</t>
  </si>
  <si>
    <t>DRY WALL(C-50*40*0.8T)</t>
  </si>
  <si>
    <t>차음GS12.5t*2겹*양면</t>
  </si>
  <si>
    <t>55BC12188DCF5132A163089F0175</t>
  </si>
  <si>
    <t>01010355BC12188DCF5132A163089F0175</t>
  </si>
  <si>
    <t>미네랄울설치(벽)</t>
  </si>
  <si>
    <t>펠트, 밀도60kg/㎥, 50mm</t>
  </si>
  <si>
    <t>55BC12188DCF7C42916D670AC06C</t>
  </si>
  <si>
    <t>01010355BC12188DCF7C42916D670AC06C</t>
  </si>
  <si>
    <t>차음패널(목모보드)</t>
  </si>
  <si>
    <t>15T*1220*2440mm(㎡)</t>
  </si>
  <si>
    <t>55BC121850A047F2316C05FDD4FC</t>
  </si>
  <si>
    <t>01010355BC121850A047F2316C05FDD4FC</t>
  </si>
  <si>
    <t>9.0*1겹</t>
  </si>
  <si>
    <t>55BC12188DCF404261605D503903</t>
  </si>
  <si>
    <t>01010355BC12188DCF404261605D503903</t>
  </si>
  <si>
    <t>MDF걸레받이</t>
  </si>
  <si>
    <t>T=9, H=100</t>
  </si>
  <si>
    <t>M</t>
  </si>
  <si>
    <t>55BC12188DCF5132A1699712EB23</t>
  </si>
  <si>
    <t>01010355BC12188DCF5132A1699712EB23</t>
  </si>
  <si>
    <t>빌트인가구</t>
  </si>
  <si>
    <t>1580*510*3000</t>
  </si>
  <si>
    <t>EA</t>
  </si>
  <si>
    <t>53491208C30FFC12416BBAC1EC</t>
  </si>
  <si>
    <t>01010353491208C30FFC12416BBAC1EC</t>
  </si>
  <si>
    <t>010104  금 속 공 사</t>
  </si>
  <si>
    <t>010104</t>
  </si>
  <si>
    <t>55BC12188DCF5162716D71B0CB5F</t>
  </si>
  <si>
    <t>01010455BC12188DCF5162716D71B0CB5F</t>
  </si>
  <si>
    <t>일반구조용각형강관</t>
  </si>
  <si>
    <t>30*30*2.3mm</t>
  </si>
  <si>
    <t>55A272A8155EABC2D16BE2C2DB40</t>
  </si>
  <si>
    <t>01010455A272A8155EABC2D16BE2C2DB40</t>
  </si>
  <si>
    <t>스텐레스후레임</t>
  </si>
  <si>
    <t>T=1.6</t>
  </si>
  <si>
    <t>KG</t>
  </si>
  <si>
    <t>557692F8737C1692F16234DB47C1</t>
  </si>
  <si>
    <t>010104557692F8737C1692F16234DB47C1</t>
  </si>
  <si>
    <t>잡철물설치(각파이프)</t>
  </si>
  <si>
    <t>간단</t>
  </si>
  <si>
    <t>55BC12188DCF51627166C17AC271</t>
  </si>
  <si>
    <t>01010455BC12188DCF51627166C17AC271</t>
  </si>
  <si>
    <t>잡철물제작(철제) -강판 가공시(야간)</t>
  </si>
  <si>
    <t>보통</t>
  </si>
  <si>
    <t>kg</t>
  </si>
  <si>
    <t>55BC12188DCF51627166C1792208</t>
  </si>
  <si>
    <t>01010455BC12188DCF51627166C1792208</t>
  </si>
  <si>
    <t>재료분리대(바닥)</t>
  </si>
  <si>
    <t>1.6t SUS</t>
  </si>
  <si>
    <t>55BC12188DCF51627167EA320F9B</t>
  </si>
  <si>
    <t>01010455BC12188DCF51627167EA320F9B</t>
  </si>
  <si>
    <t>천장 점검구 설치</t>
  </si>
  <si>
    <t>450*450mm</t>
  </si>
  <si>
    <t>개</t>
  </si>
  <si>
    <t>55BC12188DCF516271688B13101E</t>
  </si>
  <si>
    <t>01010455BC12188DCF516271688B13101E</t>
  </si>
  <si>
    <t>010105  도 장 공 사</t>
  </si>
  <si>
    <t>010105</t>
  </si>
  <si>
    <t>녹막이페인트칠</t>
  </si>
  <si>
    <t>1회.1종</t>
  </si>
  <si>
    <t>55BC12188DCF512281670A02C2A4</t>
  </si>
  <si>
    <t>01010555BC12188DCF512281670A02C2A4</t>
  </si>
  <si>
    <t>친환경 수성페인트</t>
  </si>
  <si>
    <t>내벽</t>
  </si>
  <si>
    <t>55BC12188DCF51228161E2647A50</t>
  </si>
  <si>
    <t>01010555BC12188DCF51228161E2647A50</t>
  </si>
  <si>
    <t>외벽</t>
  </si>
  <si>
    <t>55BC12188DCF51228161E2647A56</t>
  </si>
  <si>
    <t>01010555BC12188DCF51228161E2647A56</t>
  </si>
  <si>
    <t>010106  창 호 공 사</t>
  </si>
  <si>
    <t>010106</t>
  </si>
  <si>
    <t>목재문설치/부속철물포함</t>
  </si>
  <si>
    <t>55BC12188DCF5102D16533512265</t>
  </si>
  <si>
    <t>01010655BC12188DCF5102D16533512265</t>
  </si>
  <si>
    <t>010107  유 리 공 사</t>
  </si>
  <si>
    <t>010107</t>
  </si>
  <si>
    <t>백페인트글라스</t>
  </si>
  <si>
    <t>5mm</t>
  </si>
  <si>
    <t>55BC121835D4FC024162607A9341</t>
  </si>
  <si>
    <t>01010755BC121835D4FC024162607A9341</t>
  </si>
  <si>
    <t>010108  에어컨공사</t>
  </si>
  <si>
    <t>010108</t>
  </si>
  <si>
    <t>천정형냉난방기(28평형)</t>
  </si>
  <si>
    <t>대</t>
  </si>
  <si>
    <t>53491208C30FA5F2616939C98291</t>
  </si>
  <si>
    <t>01010853491208C30FA5F2616939C98291</t>
  </si>
  <si>
    <t>배관및설치공사</t>
  </si>
  <si>
    <t>식</t>
  </si>
  <si>
    <t>53491208C30FA5F2616939C98295</t>
  </si>
  <si>
    <t>01010853491208C30FA5F2616939C98295</t>
  </si>
  <si>
    <t>010110  작업부산물(합계미포함)</t>
  </si>
  <si>
    <t>010110</t>
  </si>
  <si>
    <t>강설</t>
  </si>
  <si>
    <t>고철, 작업설부산물</t>
  </si>
  <si>
    <t>수집상차도</t>
  </si>
  <si>
    <t>5576A298BE8A8BC2A16AD7166F60</t>
  </si>
  <si>
    <t>0101105576A298BE8A8BC2A16AD7166F60</t>
  </si>
  <si>
    <t>0102  ■ 회 의 실-2</t>
  </si>
  <si>
    <t>0102</t>
  </si>
  <si>
    <t>010201  가 설 공 사</t>
  </si>
  <si>
    <t>010201</t>
  </si>
  <si>
    <t>01020155BC12188DCF40C2B16AAC289295</t>
  </si>
  <si>
    <t>01020155BC12188DCF40C2B16C5D58DE35</t>
  </si>
  <si>
    <t>01020155BC12188DCF40C2B16C5D58DE37</t>
  </si>
  <si>
    <t>010202  철 거 공 사</t>
  </si>
  <si>
    <t>010202</t>
  </si>
  <si>
    <t>01020255BC12188DCF51D2A16B3928C9C7</t>
  </si>
  <si>
    <t>01020255BC12188DCF51D2A16B3BD54397</t>
  </si>
  <si>
    <t>01020255BC12188DCF51D2A16B38012BD0</t>
  </si>
  <si>
    <t>01020255BC12188DCF51D2A16B38012BD5</t>
  </si>
  <si>
    <t>01020255BC12188DCF51D2A16B3D833C3A</t>
  </si>
  <si>
    <t>01020255BC12188DCF51D2A16B3BD54660</t>
  </si>
  <si>
    <t>01020255BC12188DCF51D2A1690B2CAF0F</t>
  </si>
  <si>
    <t>01020255BC12188DCF51D2A1690A03D712</t>
  </si>
  <si>
    <t>010203  수 장 공 사</t>
  </si>
  <si>
    <t>010203</t>
  </si>
  <si>
    <t>01020355BC12188DCF5132A16ABFC0273C</t>
  </si>
  <si>
    <t>01020355BC12188DCF404261605C49C623</t>
  </si>
  <si>
    <t>01020355BC12188DCF5132A163089F0175</t>
  </si>
  <si>
    <t>01020355BC12188DCF7C42916D670AC06C</t>
  </si>
  <si>
    <t>01020355BC121850A047F2316C05FDD4FC</t>
  </si>
  <si>
    <t>01020355BC12188DCF404261605D503903</t>
  </si>
  <si>
    <t>01020355BC12188DCF5132A1699712EB23</t>
  </si>
  <si>
    <t>01020353491208C30FFC12416BBAC1EC</t>
  </si>
  <si>
    <t>010204  금 속 공 사</t>
  </si>
  <si>
    <t>010204</t>
  </si>
  <si>
    <t>01020455BC12188DCF5162716D71B0CB5F</t>
  </si>
  <si>
    <t>01020455A272A8155EABC2D16BE2C2DB40</t>
  </si>
  <si>
    <t>010204557692F8737C1692F16234DB47C1</t>
  </si>
  <si>
    <t>01020455BC12188DCF51627166C17AC271</t>
  </si>
  <si>
    <t>01020455BC12188DCF51627166C1792208</t>
  </si>
  <si>
    <t>01020455BC12188DCF51627167EA320F9B</t>
  </si>
  <si>
    <t>01020455BC12188DCF516271688B13101E</t>
  </si>
  <si>
    <t>010205  도 장 공 사</t>
  </si>
  <si>
    <t>010205</t>
  </si>
  <si>
    <t>01020555BC12188DCF512281670A02C2A4</t>
  </si>
  <si>
    <t>01020555BC12188DCF51228161E2647A50</t>
  </si>
  <si>
    <t>01020555BC12188DCF51228161E2647A56</t>
  </si>
  <si>
    <t>010206  창 호 공 사</t>
  </si>
  <si>
    <t>010206</t>
  </si>
  <si>
    <t>01020655BC12188DCF5102D16533512265</t>
  </si>
  <si>
    <t>010207  유 리 공 사</t>
  </si>
  <si>
    <t>010207</t>
  </si>
  <si>
    <t>01020755BC121835D4FC024162607A9341</t>
  </si>
  <si>
    <t>010208  에어컨공사</t>
  </si>
  <si>
    <t>010208</t>
  </si>
  <si>
    <t>01020853491208C30FA5F2616939C98291</t>
  </si>
  <si>
    <t>01020853491208C30FA5F2616939C98295</t>
  </si>
  <si>
    <t>010210  작업부산물(합계미포함)</t>
  </si>
  <si>
    <t>010210</t>
  </si>
  <si>
    <t>0102105576A298BE8A8BC2A16AD7166F60</t>
  </si>
  <si>
    <t>0103  ■ 전 문 점-1</t>
  </si>
  <si>
    <t>0103</t>
  </si>
  <si>
    <t>010301  가 설 공 사</t>
  </si>
  <si>
    <t>010301</t>
  </si>
  <si>
    <t>01030155BC12188DCF5132A16D0E80C997</t>
  </si>
  <si>
    <t>01030155BC12188DCF5132A16D0E80C99D</t>
  </si>
  <si>
    <t>01030155BC12188DCF5132A16D0E80C99E</t>
  </si>
  <si>
    <t>1800*2400</t>
  </si>
  <si>
    <t>55BC12188DCF5132A16D0E80C989</t>
  </si>
  <si>
    <t>01030155BC12188DCF5132A16D0E80C989</t>
  </si>
  <si>
    <t>01030155BC12188DCF40C2B16AAC289295</t>
  </si>
  <si>
    <t>01030155BC12188DCF40C2B16C5D58DE35</t>
  </si>
  <si>
    <t>010302  철 거 공 사</t>
  </si>
  <si>
    <t>010302</t>
  </si>
  <si>
    <t>55BC12188DCF51D2A16B3928C9C5</t>
  </si>
  <si>
    <t>01030255BC12188DCF51D2A16B3928C9C5</t>
  </si>
  <si>
    <t>55BC12188DCF51D2A16B3928C9C4</t>
  </si>
  <si>
    <t>01030255BC12188DCF51D2A16B3928C9C4</t>
  </si>
  <si>
    <t>01030255BC12188DCF51D2A16B3BD54548</t>
  </si>
  <si>
    <t>55BC12188DCF51D2A16B3BD544BA</t>
  </si>
  <si>
    <t>01030255BC12188DCF51D2A16B3BD544BA</t>
  </si>
  <si>
    <t>55BC12188DCF51D2A16B3BD54396</t>
  </si>
  <si>
    <t>01030255BC12188DCF51D2A16B3BD54396</t>
  </si>
  <si>
    <t>55BC12188DCF51D2A16B38012BD3</t>
  </si>
  <si>
    <t>01030255BC12188DCF51D2A16B38012BD3</t>
  </si>
  <si>
    <t>55BC12188DCF51D2A16B38012BDA</t>
  </si>
  <si>
    <t>01030255BC12188DCF51D2A16B38012BDA</t>
  </si>
  <si>
    <t>55BC12188DCF51D2A16B3D833C39</t>
  </si>
  <si>
    <t>01030255BC12188DCF51D2A16B3D833C39</t>
  </si>
  <si>
    <t>900*2100</t>
  </si>
  <si>
    <t>55BC12188DCF51D2A16B3D833C36</t>
  </si>
  <si>
    <t>01030255BC12188DCF51D2A16B3D833C36</t>
  </si>
  <si>
    <t>1200*1500</t>
  </si>
  <si>
    <t>55BC12188DCF51D2A16B3D833C38</t>
  </si>
  <si>
    <t>01030255BC12188DCF51D2A16B3D833C38</t>
  </si>
  <si>
    <t>01030255BC12188DCF51D2A1690B2CAF0F</t>
  </si>
  <si>
    <t>01030255BC12188DCF51D2A1690A03D712</t>
  </si>
  <si>
    <t>010303  수 장 공 사</t>
  </si>
  <si>
    <t>010303</t>
  </si>
  <si>
    <t>DRY WALL(C-65)</t>
  </si>
  <si>
    <t>55BC12188DCF5132A163089F0030</t>
  </si>
  <si>
    <t>01030355BC12188DCF5132A163089F0030</t>
  </si>
  <si>
    <t>GS9.5t*1겹*양면</t>
  </si>
  <si>
    <t>55BC12188DCF5132A163089F0109</t>
  </si>
  <si>
    <t>01030355BC12188DCF5132A163089F0109</t>
  </si>
  <si>
    <t>9.0*2겹</t>
  </si>
  <si>
    <t>55BC12188DCF404261605D503900</t>
  </si>
  <si>
    <t>01030355BC12188DCF404261605D503900</t>
  </si>
  <si>
    <t>010304  금 속 공 사</t>
  </si>
  <si>
    <t>010304</t>
  </si>
  <si>
    <t>50*50*2.3mm</t>
  </si>
  <si>
    <t>55A272A8155EABC2D16BE2C2DD7D</t>
  </si>
  <si>
    <t>01030455A272A8155EABC2D16BE2C2DD7D</t>
  </si>
  <si>
    <t>01030455A272A8155EABC2D16BE2C2DB40</t>
  </si>
  <si>
    <t>갈바강판</t>
  </si>
  <si>
    <t>557692F8737C1692F16234DB47C9</t>
  </si>
  <si>
    <t>010304557692F8737C1692F16234DB47C9</t>
  </si>
  <si>
    <t>01030455BC12188DCF51627166C17AC271</t>
  </si>
  <si>
    <t>01030455BC12188DCF51627166C1792208</t>
  </si>
  <si>
    <t>01030455BC12188DCF51627167EA320F9B</t>
  </si>
  <si>
    <t>제연그릴설치</t>
  </si>
  <si>
    <t>W:1350*H:420</t>
  </si>
  <si>
    <t>55BC12188DCF51627167E92B185C</t>
  </si>
  <si>
    <t>01030455BC12188DCF51627167E92B185C</t>
  </si>
  <si>
    <t>010305  도 장 공 사</t>
  </si>
  <si>
    <t>010305</t>
  </si>
  <si>
    <t>01030555BC12188DCF512281670A02C2A4</t>
  </si>
  <si>
    <t>칼라소부도장</t>
  </si>
  <si>
    <t>창호,외벽</t>
  </si>
  <si>
    <t>55BC12188DCF51228161E26502EC</t>
  </si>
  <si>
    <t>01030555BC12188DCF51228161E26502EC</t>
  </si>
  <si>
    <t>01030555BC12188DCF51228161E2647A50</t>
  </si>
  <si>
    <t>010306  창 호 공 사</t>
  </si>
  <si>
    <t>010306</t>
  </si>
  <si>
    <t>방화문설치(부속철물포함)</t>
  </si>
  <si>
    <t>55BC12188DCF5102D1642D06D07A</t>
  </si>
  <si>
    <t>01030655BC12188DCF5102D1642D06D07A</t>
  </si>
  <si>
    <t>편개자동문설치(무선터치형)</t>
  </si>
  <si>
    <t>53491208C30FFC12416E0E1F1FB1</t>
  </si>
  <si>
    <t>01030653491208C30FFC12416E0E1F1FB1</t>
  </si>
  <si>
    <t>양개자동문설치(무선터치형)</t>
  </si>
  <si>
    <t>53491208C30FFC12416E0E1F1EA9</t>
  </si>
  <si>
    <t>01030653491208C30FFC12416E0E1F1EA9</t>
  </si>
  <si>
    <t>010307  유 리 공 사</t>
  </si>
  <si>
    <t>010307</t>
  </si>
  <si>
    <t>방화유리</t>
  </si>
  <si>
    <t>투명, 8mm</t>
  </si>
  <si>
    <t>55BC121835D4FC024160BDA88D37</t>
  </si>
  <si>
    <t>01030755BC121835D4FC024160BDA88D37</t>
  </si>
  <si>
    <t>강화유리</t>
  </si>
  <si>
    <t>투명, 10mm</t>
  </si>
  <si>
    <t>55BC121835D4FC024160BDA88D32</t>
  </si>
  <si>
    <t>01030755BC121835D4FC024160BDA88D32</t>
  </si>
  <si>
    <t>10mm 미만</t>
  </si>
  <si>
    <t>55BC12188DCF5112F16CDD737EFE</t>
  </si>
  <si>
    <t>01030755BC12188DCF5112F16CDD737EFE</t>
  </si>
  <si>
    <t>10mm 이상</t>
  </si>
  <si>
    <t>55BC12188DCF5112F16CDD737EFC</t>
  </si>
  <si>
    <t>01030755BC12188DCF5112F16CDD737EFC</t>
  </si>
  <si>
    <t>수밀코킹(5mm각)</t>
  </si>
  <si>
    <t>실리콘</t>
  </si>
  <si>
    <t>55BC12188DCF5142B169E02BD743</t>
  </si>
  <si>
    <t>01030755BC12188DCF5142B169E02BD743</t>
  </si>
  <si>
    <t>수밀코킹(10mm각)</t>
  </si>
  <si>
    <t>55BC12188DCF5142B169E02BD48F</t>
  </si>
  <si>
    <t>01030755BC12188DCF5142B169E02BD48F</t>
  </si>
  <si>
    <t>010308  작업부산물(합계미포함)</t>
  </si>
  <si>
    <t>010308</t>
  </si>
  <si>
    <t>0103085576A298BE8A8BC2A16AD7166F60</t>
  </si>
  <si>
    <t>0104  ■ 전 문 점-2</t>
  </si>
  <si>
    <t>0104</t>
  </si>
  <si>
    <t>010401  가 설 공 사</t>
  </si>
  <si>
    <t>010401</t>
  </si>
  <si>
    <t>01040155BC12188DCF5132A16D0E80C997</t>
  </si>
  <si>
    <t>01040155BC12188DCF5132A16D0E80C99D</t>
  </si>
  <si>
    <t>01040155BC12188DCF5132A16D0E80C99E</t>
  </si>
  <si>
    <t>01040155BC12188DCF40C2B16AAC289295</t>
  </si>
  <si>
    <t>01040155BC12188DCF40C2B16C5D58DE35</t>
  </si>
  <si>
    <t>010402  철 거 공 사</t>
  </si>
  <si>
    <t>010402</t>
  </si>
  <si>
    <t>01040255BC12188DCF51D2A16B3928C9C5</t>
  </si>
  <si>
    <t>01040255BC12188DCF51D2A16B3928C9C4</t>
  </si>
  <si>
    <t>01040255BC12188DCF51D2A16B3BD54548</t>
  </si>
  <si>
    <t>01040255BC12188DCF51D2A16B3BD544BA</t>
  </si>
  <si>
    <t>01040255BC12188DCF51D2A16B3BD54396</t>
  </si>
  <si>
    <t>01040255BC12188DCF51D2A16B38012BD3</t>
  </si>
  <si>
    <t>01040255BC12188DCF51D2A16B38012BDA</t>
  </si>
  <si>
    <t>01040255BC12188DCF51D2A16B3D833C36</t>
  </si>
  <si>
    <t>01040255BC12188DCF51D2A16B3D833C38</t>
  </si>
  <si>
    <t>01040255BC12188DCF51D2A1690B2CAF0F</t>
  </si>
  <si>
    <t>01040255BC12188DCF51D2A1690A03D712</t>
  </si>
  <si>
    <t>010403  수 장 공 사</t>
  </si>
  <si>
    <t>010403</t>
  </si>
  <si>
    <t>01040355BC12188DCF5132A163089F0030</t>
  </si>
  <si>
    <t>01040355BC12188DCF5132A163089F0109</t>
  </si>
  <si>
    <t>01040355BC12188DCF404261605D503900</t>
  </si>
  <si>
    <t>010404  금 속 공 사</t>
  </si>
  <si>
    <t>010404</t>
  </si>
  <si>
    <t>01040455A272A8155EABC2D16BE2C2DD7D</t>
  </si>
  <si>
    <t>01040455A272A8155EABC2D16BE2C2DB40</t>
  </si>
  <si>
    <t>010404557692F8737C1692F16234DB47C9</t>
  </si>
  <si>
    <t>01040455BC12188DCF51627166C17AC271</t>
  </si>
  <si>
    <t>01040455BC12188DCF51627166C1792208</t>
  </si>
  <si>
    <t>01040455BC12188DCF51627167EA320F9B</t>
  </si>
  <si>
    <t>01040455BC12188DCF51627167E92B185C</t>
  </si>
  <si>
    <t>010405  도 장 공 사</t>
  </si>
  <si>
    <t>010405</t>
  </si>
  <si>
    <t>01040555BC12188DCF512281670A02C2A4</t>
  </si>
  <si>
    <t>01040555BC12188DCF51228161E26502EC</t>
  </si>
  <si>
    <t>01040555BC12188DCF51228161E2647A50</t>
  </si>
  <si>
    <t>010406  창 호 공 사</t>
  </si>
  <si>
    <t>010406</t>
  </si>
  <si>
    <t>01040653491208C30FFC12416E0E1F1EA9</t>
  </si>
  <si>
    <t>010407  유 리 공 사</t>
  </si>
  <si>
    <t>010407</t>
  </si>
  <si>
    <t>01040755BC121835D4FC024160BDA88D37</t>
  </si>
  <si>
    <t>01040755BC121835D4FC024160BDA88D32</t>
  </si>
  <si>
    <t>01040755BC12188DCF5112F16CDD737EFE</t>
  </si>
  <si>
    <t>01040755BC12188DCF5112F16CDD737EFC</t>
  </si>
  <si>
    <t>01040755BC12188DCF5142B169E02BD743</t>
  </si>
  <si>
    <t>01040755BC12188DCF5142B169E02BD48F</t>
  </si>
  <si>
    <t>010408  작업부산물(합계미포함)</t>
  </si>
  <si>
    <t>010408</t>
  </si>
  <si>
    <t>0104085576A298BE8A8BC2A16AD7166F60</t>
  </si>
  <si>
    <t>경    비</t>
  </si>
  <si>
    <t>합    계</t>
  </si>
  <si>
    <t>비      고</t>
  </si>
  <si>
    <t>A3</t>
  </si>
  <si>
    <t xml:space="preserve"> </t>
    <phoneticPr fontId="9" type="noConversion"/>
  </si>
  <si>
    <t>건 축 공 사  내 역 서</t>
    <phoneticPr fontId="9" type="noConversion"/>
  </si>
  <si>
    <t>일위대가, 단가대비표, 수량산출서</t>
    <phoneticPr fontId="9" type="noConversion"/>
  </si>
  <si>
    <t>공 사 원 가 계 산 서</t>
  </si>
  <si>
    <t>비        목</t>
  </si>
  <si>
    <t>금      액</t>
  </si>
  <si>
    <t>구        성        비</t>
  </si>
  <si>
    <t>A1</t>
  </si>
  <si>
    <t>순   공   사   원   가</t>
  </si>
  <si>
    <t>재   료   비</t>
  </si>
  <si>
    <t>직  접  재  료  비</t>
  </si>
  <si>
    <t>재료비합계</t>
    <phoneticPr fontId="1" type="noConversion"/>
  </si>
  <si>
    <t>A2</t>
  </si>
  <si>
    <t>간  접  재  료  비</t>
  </si>
  <si>
    <t>가설공사</t>
    <phoneticPr fontId="1" type="noConversion"/>
  </si>
  <si>
    <t>작업설, 부산물(△)</t>
  </si>
  <si>
    <t>AS</t>
  </si>
  <si>
    <t>[ 소          계 ]</t>
  </si>
  <si>
    <t>B1</t>
  </si>
  <si>
    <t>노   무   비</t>
  </si>
  <si>
    <t>직  접  노  무  비</t>
  </si>
  <si>
    <t>B2</t>
  </si>
  <si>
    <t>간  접  노  무  비</t>
  </si>
  <si>
    <t>2018년6월부터 적용(코레일유통)</t>
    <phoneticPr fontId="1" type="noConversion"/>
  </si>
  <si>
    <t>BS</t>
  </si>
  <si>
    <t>C2</t>
  </si>
  <si>
    <t>경        비</t>
  </si>
  <si>
    <t>기   계    경   비</t>
  </si>
  <si>
    <t>C4</t>
  </si>
  <si>
    <t>산  재  보  험  료</t>
  </si>
  <si>
    <t>모든공사에적용</t>
    <phoneticPr fontId="7" type="noConversion"/>
  </si>
  <si>
    <t>2018년 하반기 변경</t>
    <phoneticPr fontId="1" type="noConversion"/>
  </si>
  <si>
    <t>C5</t>
  </si>
  <si>
    <t>고  용  보  험  료</t>
  </si>
  <si>
    <t>C6</t>
  </si>
  <si>
    <t>국민  건강  보험료</t>
  </si>
  <si>
    <t>C7</t>
  </si>
  <si>
    <t>국민  연금  보험료</t>
  </si>
  <si>
    <t>CB</t>
  </si>
  <si>
    <t>노인장기요양보험료</t>
  </si>
  <si>
    <t>2018년 하반기 변경</t>
    <phoneticPr fontId="1" type="noConversion"/>
  </si>
  <si>
    <t>C8</t>
  </si>
  <si>
    <t>퇴직  공제  부금비</t>
  </si>
  <si>
    <t>직접노무비 * 2.3%</t>
  </si>
  <si>
    <t>CA</t>
  </si>
  <si>
    <t>산업안전보건관리비</t>
  </si>
  <si>
    <t>4천만원이상</t>
    <phoneticPr fontId="7" type="noConversion"/>
  </si>
  <si>
    <t>CH</t>
  </si>
  <si>
    <t>환  경  보  전  비</t>
  </si>
  <si>
    <t>(재료비+직노+기계경비) * 0.5%</t>
    <phoneticPr fontId="7" type="noConversion"/>
  </si>
  <si>
    <t>CG</t>
  </si>
  <si>
    <t>기   타    경   비</t>
  </si>
  <si>
    <t>2018년4월5일 적용(코레일유통)</t>
    <phoneticPr fontId="1" type="noConversion"/>
  </si>
  <si>
    <t>CS</t>
  </si>
  <si>
    <t>S1</t>
  </si>
  <si>
    <t xml:space="preserve">        계</t>
  </si>
  <si>
    <t>D1</t>
  </si>
  <si>
    <t>일  반  관  리  비</t>
  </si>
  <si>
    <t>D2</t>
  </si>
  <si>
    <t>이              윤</t>
  </si>
  <si>
    <t>(노무비+경비+일반관리비) * 15%</t>
    <phoneticPr fontId="7" type="noConversion"/>
  </si>
  <si>
    <t>D9</t>
  </si>
  <si>
    <t>공   급    가   액</t>
  </si>
  <si>
    <t>DB</t>
  </si>
  <si>
    <t>부  가  가  치  세</t>
  </si>
  <si>
    <t>공급가액 * 10%</t>
  </si>
  <si>
    <t>DH</t>
  </si>
  <si>
    <t>도      급      액</t>
  </si>
  <si>
    <t>천원 단위절사</t>
    <phoneticPr fontId="7" type="noConversion"/>
  </si>
  <si>
    <t>S2</t>
  </si>
  <si>
    <t>총   공   사    비</t>
  </si>
  <si>
    <t>총    괄    표</t>
    <phoneticPr fontId="9" type="noConversion"/>
  </si>
  <si>
    <t>품          명</t>
    <phoneticPr fontId="9" type="noConversion"/>
  </si>
  <si>
    <t>비고</t>
  </si>
  <si>
    <t>단가</t>
  </si>
  <si>
    <t>금액</t>
  </si>
  <si>
    <r>
      <t xml:space="preserve"> ■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총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괄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표</t>
    </r>
    <phoneticPr fontId="9" type="noConversion"/>
  </si>
  <si>
    <t>식</t>
    <phoneticPr fontId="9" type="noConversion"/>
  </si>
  <si>
    <t>&lt;소  계&gt;</t>
    <phoneticPr fontId="7" type="noConversion"/>
  </si>
  <si>
    <t>&lt;작업부산물&gt;</t>
    <phoneticPr fontId="7" type="noConversion"/>
  </si>
  <si>
    <t>마지막열은 지우지 마시오</t>
  </si>
  <si>
    <t>01  ▶회 의 실-1</t>
    <phoneticPr fontId="7" type="noConversion"/>
  </si>
  <si>
    <t>02  ▶회 의 실-2</t>
    <phoneticPr fontId="7" type="noConversion"/>
  </si>
  <si>
    <t>03  ▶전 문 점-1</t>
    <phoneticPr fontId="7" type="noConversion"/>
  </si>
  <si>
    <r>
      <t>노무비 * 4.05</t>
    </r>
    <r>
      <rPr>
        <sz val="11"/>
        <color theme="1"/>
        <rFont val="맑은 고딕"/>
        <family val="3"/>
        <charset val="129"/>
      </rPr>
      <t>%</t>
    </r>
    <phoneticPr fontId="7" type="noConversion"/>
  </si>
  <si>
    <r>
      <t>노무비 *</t>
    </r>
    <r>
      <rPr>
        <sz val="11"/>
        <color theme="1"/>
        <rFont val="맑은 고딕"/>
        <family val="3"/>
        <charset val="129"/>
      </rPr>
      <t xml:space="preserve"> 0.87%</t>
    </r>
    <phoneticPr fontId="7" type="noConversion"/>
  </si>
  <si>
    <t>직접노무비 * 3.12%</t>
    <phoneticPr fontId="7" type="noConversion"/>
  </si>
  <si>
    <t>직접노무비 * 4.5%</t>
    <phoneticPr fontId="7" type="noConversion"/>
  </si>
  <si>
    <t>건강보험료 * 7.38%</t>
    <phoneticPr fontId="7" type="noConversion"/>
  </si>
  <si>
    <r>
      <t>(재료비+직노</t>
    </r>
    <r>
      <rPr>
        <sz val="11"/>
        <color theme="1"/>
        <rFont val="맑은 고딕"/>
        <family val="3"/>
        <charset val="129"/>
        <scheme val="minor"/>
      </rPr>
      <t>+관급자재</t>
    </r>
    <r>
      <rPr>
        <sz val="11"/>
        <color theme="1"/>
        <rFont val="맑은 고딕"/>
        <family val="3"/>
        <charset val="129"/>
      </rPr>
      <t>) * 2.93%</t>
    </r>
    <phoneticPr fontId="7" type="noConversion"/>
  </si>
  <si>
    <r>
      <t xml:space="preserve">(재료비+노무비) * </t>
    </r>
    <r>
      <rPr>
        <sz val="11"/>
        <color theme="1"/>
        <rFont val="맑은 고딕"/>
        <family val="3"/>
        <charset val="129"/>
      </rPr>
      <t>5.5%</t>
    </r>
    <phoneticPr fontId="7" type="noConversion"/>
  </si>
  <si>
    <t>계 * 6%</t>
    <phoneticPr fontId="7" type="noConversion"/>
  </si>
  <si>
    <t>직접노무비 * 7.9%</t>
    <phoneticPr fontId="7" type="noConversion"/>
  </si>
  <si>
    <t>2018년 12월</t>
    <phoneticPr fontId="7" type="noConversion"/>
  </si>
  <si>
    <t>건 명 : [ 부산역 회의실 및 전문점 신축공사 ]</t>
    <phoneticPr fontId="7" type="noConversion"/>
  </si>
  <si>
    <t>코레일유통(주)</t>
    <phoneticPr fontId="7" type="noConversion"/>
  </si>
  <si>
    <t>04  ▶전 문 점-2</t>
    <phoneticPr fontId="7" type="noConversion"/>
  </si>
  <si>
    <t>[ 부산역 회의실 및 전문점 신축공사 ]</t>
    <phoneticPr fontId="9" type="noConversion"/>
  </si>
  <si>
    <t>[ 부산역 회의실 및 전문점 신축공사 ]</t>
    <phoneticPr fontId="1" type="noConversion"/>
  </si>
  <si>
    <t>01  부산역 회의실 및 전문점 신축공사</t>
    <phoneticPr fontId="1" type="noConversion"/>
  </si>
  <si>
    <t>[ 부산역 회의실 및 전문점 신축공사 ]</t>
    <phoneticPr fontId="1" type="noConversion"/>
  </si>
  <si>
    <t>가설판넬(난연2등급이상)</t>
    <phoneticPr fontId="1" type="noConversion"/>
  </si>
  <si>
    <t>이동식강관말비계</t>
    <phoneticPr fontId="1" type="noConversion"/>
  </si>
  <si>
    <t>건축물현장정리</t>
    <phoneticPr fontId="1" type="noConversion"/>
  </si>
  <si>
    <t>합판 벽붙이기</t>
    <phoneticPr fontId="1" type="noConversion"/>
  </si>
  <si>
    <t>경량철골천정틀</t>
    <phoneticPr fontId="1" type="noConversion"/>
  </si>
  <si>
    <t>벽, 합판붙임</t>
    <phoneticPr fontId="1" type="noConversion"/>
  </si>
  <si>
    <t>유리끼우기 - 판유리</t>
    <phoneticPr fontId="1" type="noConversion"/>
  </si>
  <si>
    <t>M-BAR H:1m 이상. 인써트 유</t>
    <phoneticPr fontId="1" type="noConversion"/>
  </si>
  <si>
    <t>M-Bar용,12*300*600</t>
    <phoneticPr fontId="1" type="noConversion"/>
  </si>
  <si>
    <t>불연천정판</t>
    <phoneticPr fontId="1" type="noConversion"/>
  </si>
  <si>
    <t>석고판못붙임(천정)</t>
  </si>
  <si>
    <t>T=9.5*1겹</t>
    <phoneticPr fontId="1" type="noConversion"/>
  </si>
  <si>
    <t>회의실1</t>
    <phoneticPr fontId="1" type="noConversion"/>
  </si>
  <si>
    <t>가설판넬설치</t>
    <phoneticPr fontId="1" type="noConversion"/>
  </si>
  <si>
    <t>가설판넬해체</t>
    <phoneticPr fontId="1" type="noConversion"/>
  </si>
  <si>
    <t>가설출입문</t>
    <phoneticPr fontId="1" type="noConversion"/>
  </si>
  <si>
    <t>데코타일철거</t>
    <phoneticPr fontId="1" type="noConversion"/>
  </si>
  <si>
    <t>경량천정틀철거</t>
    <phoneticPr fontId="1" type="noConversion"/>
  </si>
  <si>
    <t>천정</t>
    <phoneticPr fontId="1" type="noConversion"/>
  </si>
  <si>
    <t>도어철거</t>
    <phoneticPr fontId="1" type="noConversion"/>
  </si>
  <si>
    <t>잡철물제작(철제) -강판 가공시</t>
    <phoneticPr fontId="1" type="noConversion"/>
  </si>
  <si>
    <t>시공도</t>
    <phoneticPr fontId="1" type="noConversion"/>
  </si>
  <si>
    <t>회의실2</t>
    <phoneticPr fontId="1" type="noConversion"/>
  </si>
  <si>
    <t>전문점1</t>
    <phoneticPr fontId="1" type="noConversion"/>
  </si>
  <si>
    <r>
      <t>010301  가 설 공 사</t>
    </r>
    <r>
      <rPr>
        <sz val="11"/>
        <color rgb="FFFF0000"/>
        <rFont val="굴림체"/>
        <family val="3"/>
        <charset val="129"/>
      </rPr>
      <t>(야간공사)</t>
    </r>
    <phoneticPr fontId="1" type="noConversion"/>
  </si>
  <si>
    <r>
      <t>010302  철 거 공 사</t>
    </r>
    <r>
      <rPr>
        <sz val="11"/>
        <color rgb="FFFF0000"/>
        <rFont val="굴림체"/>
        <family val="3"/>
        <charset val="129"/>
      </rPr>
      <t>(야간공사)</t>
    </r>
    <phoneticPr fontId="1" type="noConversion"/>
  </si>
  <si>
    <t>P-TILE철거</t>
    <phoneticPr fontId="1" type="noConversion"/>
  </si>
  <si>
    <t>카펫타일철거</t>
    <phoneticPr fontId="1" type="noConversion"/>
  </si>
  <si>
    <t>SMP천정틀철거</t>
    <phoneticPr fontId="1" type="noConversion"/>
  </si>
  <si>
    <t>석고보드철거</t>
    <phoneticPr fontId="1" type="noConversion"/>
  </si>
  <si>
    <t>강화유리및후레임철거</t>
    <phoneticPr fontId="1" type="noConversion"/>
  </si>
  <si>
    <t>창호철거</t>
    <phoneticPr fontId="1" type="noConversion"/>
  </si>
  <si>
    <r>
      <t>010304  금 속 공 사</t>
    </r>
    <r>
      <rPr>
        <sz val="11"/>
        <color rgb="FFFF0000"/>
        <rFont val="굴림체"/>
        <family val="3"/>
        <charset val="129"/>
      </rPr>
      <t>(야간공사)</t>
    </r>
    <phoneticPr fontId="1" type="noConversion"/>
  </si>
  <si>
    <t>전문점2</t>
    <phoneticPr fontId="1" type="noConversion"/>
  </si>
  <si>
    <r>
      <t>010401  가 설 공 사</t>
    </r>
    <r>
      <rPr>
        <sz val="11"/>
        <color rgb="FFFF0000"/>
        <rFont val="굴림체"/>
        <family val="3"/>
        <charset val="129"/>
      </rPr>
      <t>(야간공사)</t>
    </r>
    <phoneticPr fontId="1" type="noConversion"/>
  </si>
  <si>
    <r>
      <t>010402  철 거 공 사</t>
    </r>
    <r>
      <rPr>
        <sz val="11"/>
        <color rgb="FFFF0000"/>
        <rFont val="굴림체"/>
        <family val="3"/>
        <charset val="129"/>
      </rPr>
      <t>(야간공사)</t>
    </r>
    <phoneticPr fontId="1" type="noConversion"/>
  </si>
  <si>
    <r>
      <t>010404  금 속 공 사</t>
    </r>
    <r>
      <rPr>
        <sz val="11"/>
        <color rgb="FFFF0000"/>
        <rFont val="굴림체"/>
        <family val="3"/>
        <charset val="129"/>
      </rPr>
      <t>(야간공사)</t>
    </r>
    <phoneticPr fontId="1" type="noConversion"/>
  </si>
  <si>
    <t>GS9.5*2겹+GS9.5*1겹</t>
    <phoneticPr fontId="1" type="noConversion"/>
  </si>
  <si>
    <t>비상전원장치</t>
    <phoneticPr fontId="1" type="noConversion"/>
  </si>
  <si>
    <t>1800*2600</t>
    <phoneticPr fontId="1" type="noConversion"/>
  </si>
  <si>
    <t>GS9.5*2겹+GS9.5*1겹</t>
    <phoneticPr fontId="1" type="noConversion"/>
  </si>
  <si>
    <t>1개월이상</t>
    <phoneticPr fontId="7" type="noConversion"/>
  </si>
  <si>
    <t>가설공사 재료비</t>
    <phoneticPr fontId="1" type="noConversion"/>
  </si>
  <si>
    <t>010108  에어컨 공사</t>
    <phoneticPr fontId="1" type="noConversion"/>
  </si>
  <si>
    <t>010208  에어컨 공사</t>
    <phoneticPr fontId="1" type="noConversion"/>
  </si>
  <si>
    <t>1290*510*3000</t>
    <phoneticPr fontId="1" type="noConversion"/>
  </si>
  <si>
    <t>가설현수막</t>
    <phoneticPr fontId="1" type="noConversion"/>
  </si>
  <si>
    <t>배관추가설치</t>
  </si>
  <si>
    <t>안전 문구</t>
    <phoneticPr fontId="1" type="noConversion"/>
  </si>
  <si>
    <t>1800*2400</t>
    <phoneticPr fontId="1" type="noConversion"/>
  </si>
  <si>
    <t>인버터,1등급 프리미엄</t>
    <phoneticPr fontId="1" type="noConversion"/>
  </si>
  <si>
    <t>텍스철거</t>
    <phoneticPr fontId="1" type="noConversion"/>
  </si>
  <si>
    <t>무빙월철거</t>
    <phoneticPr fontId="1" type="noConversion"/>
  </si>
  <si>
    <t>금속판넬철거</t>
    <phoneticPr fontId="1" type="noConversion"/>
  </si>
  <si>
    <t>화이트보드철거</t>
    <phoneticPr fontId="1" type="noConversion"/>
  </si>
  <si>
    <t>경량칸막이철거</t>
    <phoneticPr fontId="1" type="noConversion"/>
  </si>
  <si>
    <t>SGP판넬철거</t>
    <phoneticPr fontId="1" type="noConversion"/>
  </si>
  <si>
    <t>20*20*1.4mm</t>
    <phoneticPr fontId="1" type="noConversion"/>
  </si>
  <si>
    <t>20*20*1.4mm</t>
    <phoneticPr fontId="1" type="noConversion"/>
  </si>
  <si>
    <t>3억원이상(본공사제외)</t>
    <phoneticPr fontId="7" type="noConversion"/>
  </si>
  <si>
    <t>천정타공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</si>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</sst>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#"/>
    <numFmt numFmtId="180" formatCode="0.00_ "/>
    <numFmt numFmtId="183" formatCode="_ * #,##0.00_ ;_ * \-#,##0.00_ ;_ * &quot;-&quot;??_ ;_ @_ "/>
    <numFmt numFmtId="184" formatCode="#,##0.0\ ;\(#,##0.0\);\ \-\ "/>
    <numFmt numFmtId="185" formatCode="\$#,##0\ ;\(\$#,##0\)"/>
    <numFmt numFmtId="186" formatCode="\(&quot;$&quot;#,##0\);\(&quot;$&quot;#,##0\)"/>
    <numFmt numFmtId="187" formatCode="_-* #,##0.0_-;\-* #,##0.0_-;_-* &quot;-&quot;??_-;_-@_-"/>
    <numFmt numFmtId="188" formatCode="#,##0.0;[Red]\(#,##0.0\)"/>
    <numFmt numFmtId="189" formatCode="#,##0.0\ ;\(#,##0.0\);&quot;-&quot;\ "/>
    <numFmt numFmtId="190" formatCode="&quot;?#,##0.00;\-&quot;&quot;?&quot;#,##0.00"/>
    <numFmt numFmtId="191" formatCode="#,##0;[Red]\(#,##0\)"/>
    <numFmt numFmtId="192" formatCode="_-* #,##0_-;\-* #,##0_-;_-* &quot;-&quot;??_-;_-@_-"/>
    <numFmt numFmtId="193" formatCode="\(&quot;₩&quot;#,##0\);[Red]\(\-&quot;₩&quot;#,##0\)"/>
    <numFmt numFmtId="194" formatCode="\(&quot;₩&quot;#,##0\);[Red]\(&quot;△&quot;&quot;₩&quot;#,##0\)"/>
    <numFmt numFmtId="195" formatCode="#,##0&quot;칸&quot;"/>
    <numFmt numFmtId="196" formatCode="#,##0.0000_ "/>
    <numFmt numFmtId="197" formatCode="#,###.00000"/>
    <numFmt numFmtId="198" formatCode="#,##0\ ;[Red]\-#,##0\ "/>
    <numFmt numFmtId="199" formatCode="&quot;¥&quot;#,##0;[Red]&quot;¥&quot;\-#,##0"/>
    <numFmt numFmtId="200" formatCode="#.000"/>
    <numFmt numFmtId="201" formatCode="#,###.0000"/>
    <numFmt numFmtId="202" formatCode="#,###.000000"/>
    <numFmt numFmtId="203" formatCode="#,##0_ "/>
  </numFmts>
  <fonts count="7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2"/>
      <name val="돋움체"/>
      <family val="3"/>
      <charset val="129"/>
    </font>
    <font>
      <sz val="10"/>
      <color indexed="19"/>
      <name val="돋움체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sz val="11"/>
      <name val="돋움"/>
      <family val="3"/>
      <charset val="129"/>
    </font>
    <font>
      <sz val="10"/>
      <name val="Times New Roman"/>
      <family val="1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Courier New"/>
      <family val="3"/>
    </font>
    <font>
      <sz val="12"/>
      <name val="Arial"/>
      <family val="2"/>
    </font>
    <font>
      <sz val="10"/>
      <name val="±¼¸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9"/>
      <name val="굴림체"/>
      <family val="3"/>
      <charset val="129"/>
    </font>
    <font>
      <sz val="10"/>
      <name val="±¼¸²A¼"/>
      <family val="3"/>
      <charset val="129"/>
    </font>
    <font>
      <sz val="8"/>
      <name val="¹UAAA¼"/>
      <family val="1"/>
      <charset val="129"/>
    </font>
    <font>
      <sz val="10"/>
      <name val="¹UAAA¼"/>
      <family val="1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¹UAAA¼"/>
      <family val="1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name val="돋움"/>
      <family val="3"/>
      <charset val="129"/>
    </font>
    <font>
      <b/>
      <sz val="1"/>
      <color indexed="8"/>
      <name val="Courier"/>
      <family val="3"/>
    </font>
    <font>
      <u/>
      <sz val="8.6999999999999993"/>
      <color indexed="36"/>
      <name val="굴림체"/>
      <family val="3"/>
      <charset val="129"/>
    </font>
    <font>
      <sz val="14"/>
      <name val="뼻뮝"/>
      <family val="1"/>
      <charset val="129"/>
    </font>
    <font>
      <sz val="10"/>
      <name val="돋움체"/>
      <family val="3"/>
      <charset val="129"/>
    </font>
    <font>
      <sz val="12"/>
      <name val="뼻뮝"/>
      <family val="1"/>
      <charset val="129"/>
    </font>
    <font>
      <sz val="12"/>
      <name val="명조"/>
      <family val="3"/>
      <charset val="129"/>
    </font>
    <font>
      <sz val="12"/>
      <name val="AppleGothic"/>
      <family val="2"/>
      <charset val="128"/>
    </font>
    <font>
      <sz val="10"/>
      <name val="명조"/>
      <family val="3"/>
      <charset val="129"/>
    </font>
    <font>
      <sz val="10"/>
      <color indexed="12"/>
      <name val="굴림체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HY울릉도M"/>
      <family val="1"/>
      <charset val="129"/>
    </font>
    <font>
      <u/>
      <sz val="16"/>
      <name val="HY울릉도M"/>
      <family val="1"/>
      <charset val="129"/>
    </font>
    <font>
      <sz val="20"/>
      <name val="HY울릉도M"/>
      <family val="1"/>
      <charset val="129"/>
    </font>
    <font>
      <u/>
      <sz val="20"/>
      <name val="HY울릉도M"/>
      <family val="1"/>
      <charset val="129"/>
    </font>
    <font>
      <sz val="35"/>
      <name val="HY울릉도M"/>
      <family val="1"/>
      <charset val="129"/>
    </font>
    <font>
      <sz val="16"/>
      <name val="HY울릉도M"/>
      <family val="1"/>
      <charset val="129"/>
    </font>
    <font>
      <sz val="14"/>
      <name val="HY울릉도M"/>
      <family val="1"/>
      <charset val="129"/>
    </font>
    <font>
      <b/>
      <u/>
      <sz val="16"/>
      <color indexed="8"/>
      <name val="돋움체"/>
      <family val="3"/>
      <charset val="129"/>
    </font>
    <font>
      <sz val="11"/>
      <color indexed="8"/>
      <name val="돋움체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u/>
      <sz val="16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843">
    <xf numFmtId="0" fontId="0" fillId="0" borderId="0">
      <alignment vertical="center"/>
    </xf>
    <xf numFmtId="0" fontId="6" fillId="0" borderId="0">
      <alignment vertical="center"/>
    </xf>
    <xf numFmtId="3" fontId="10" fillId="0" borderId="1"/>
    <xf numFmtId="0" fontId="11" fillId="0" borderId="0" applyNumberFormat="0">
      <alignment horizontal="center" vertical="center"/>
      <protection locked="0" hidden="1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12" fillId="0" borderId="0"/>
    <xf numFmtId="0" fontId="15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8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 applyFont="0" applyFill="0" applyBorder="0" applyAlignment="0" applyProtection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2" fillId="0" borderId="0"/>
    <xf numFmtId="0" fontId="13" fillId="0" borderId="0"/>
    <xf numFmtId="0" fontId="15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 applyFont="0" applyFill="0" applyBorder="0" applyAlignment="0" applyProtection="0"/>
    <xf numFmtId="0" fontId="15" fillId="0" borderId="0"/>
    <xf numFmtId="0" fontId="12" fillId="0" borderId="0"/>
    <xf numFmtId="0" fontId="12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8" fillId="0" borderId="0" applyFont="0" applyFill="0" applyBorder="0" applyAlignment="0" applyProtection="0"/>
    <xf numFmtId="3" fontId="10" fillId="0" borderId="1"/>
    <xf numFmtId="3" fontId="10" fillId="0" borderId="1"/>
    <xf numFmtId="3" fontId="18" fillId="0" borderId="4">
      <alignment horizontal="right" vertical="center"/>
    </xf>
    <xf numFmtId="2" fontId="18" fillId="0" borderId="4">
      <alignment horizontal="right" vertical="center"/>
    </xf>
    <xf numFmtId="0" fontId="19" fillId="0" borderId="0"/>
    <xf numFmtId="0" fontId="14" fillId="0" borderId="0">
      <protection locked="0"/>
    </xf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21" fillId="0" borderId="0" applyFont="0" applyFill="0" applyBorder="0" applyAlignment="0" applyProtection="0"/>
    <xf numFmtId="0" fontId="23" fillId="0" borderId="0">
      <protection locked="0"/>
    </xf>
    <xf numFmtId="0" fontId="20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21" fillId="0" borderId="0" applyFont="0" applyFill="0" applyBorder="0" applyAlignment="0" applyProtection="0"/>
    <xf numFmtId="183" fontId="20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21" fillId="0" borderId="0" applyFont="0" applyFill="0" applyBorder="0" applyAlignment="0" applyProtection="0"/>
    <xf numFmtId="58" fontId="14" fillId="0" borderId="0" applyFont="0" applyFill="0" applyBorder="0" applyAlignment="0" applyProtection="0"/>
    <xf numFmtId="0" fontId="25" fillId="0" borderId="0"/>
    <xf numFmtId="0" fontId="20" fillId="0" borderId="0"/>
    <xf numFmtId="0" fontId="26" fillId="0" borderId="0"/>
    <xf numFmtId="0" fontId="27" fillId="0" borderId="0"/>
    <xf numFmtId="0" fontId="28" fillId="0" borderId="0"/>
    <xf numFmtId="0" fontId="22" fillId="0" borderId="0"/>
    <xf numFmtId="0" fontId="29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7" fillId="0" borderId="0"/>
    <xf numFmtId="0" fontId="14" fillId="0" borderId="0" applyFill="0" applyBorder="0" applyAlignment="0"/>
    <xf numFmtId="0" fontId="30" fillId="0" borderId="0"/>
    <xf numFmtId="0" fontId="12" fillId="0" borderId="0" applyFill="0" applyBorder="0" applyAlignment="0" applyProtection="0"/>
    <xf numFmtId="0" fontId="13" fillId="0" borderId="0" applyFont="0" applyFill="0" applyBorder="0" applyAlignment="0" applyProtection="0"/>
    <xf numFmtId="184" fontId="8" fillId="0" borderId="0"/>
    <xf numFmtId="183" fontId="12" fillId="0" borderId="0" applyFont="0" applyFill="0" applyBorder="0" applyAlignment="0" applyProtection="0"/>
    <xf numFmtId="3" fontId="12" fillId="0" borderId="0" applyFill="0" applyBorder="0" applyAlignment="0" applyProtection="0"/>
    <xf numFmtId="0" fontId="16" fillId="0" borderId="0" applyFont="0" applyFill="0" applyBorder="0" applyAlignment="0" applyProtection="0"/>
    <xf numFmtId="0" fontId="31" fillId="0" borderId="0">
      <protection locked="0"/>
    </xf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185" fontId="12" fillId="0" borderId="0" applyFont="0" applyFill="0" applyBorder="0" applyAlignment="0" applyProtection="0"/>
    <xf numFmtId="186" fontId="14" fillId="0" borderId="0"/>
    <xf numFmtId="0" fontId="12" fillId="0" borderId="0" applyFont="0" applyFill="0" applyBorder="0" applyAlignment="0" applyProtection="0"/>
    <xf numFmtId="187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189" fontId="14" fillId="0" borderId="0"/>
    <xf numFmtId="0" fontId="8" fillId="0" borderId="0" applyFont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0" fontId="33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3" fillId="0" borderId="0">
      <protection locked="0"/>
    </xf>
    <xf numFmtId="2" fontId="12" fillId="0" borderId="0" applyFont="0" applyFill="0" applyBorder="0" applyAlignment="0" applyProtection="0"/>
    <xf numFmtId="38" fontId="34" fillId="7" borderId="0" applyNumberFormat="0" applyBorder="0" applyAlignment="0" applyProtection="0"/>
    <xf numFmtId="3" fontId="35" fillId="0" borderId="5">
      <alignment horizontal="right" vertical="center"/>
    </xf>
    <xf numFmtId="4" fontId="35" fillId="0" borderId="5">
      <alignment horizontal="right" vertical="center"/>
    </xf>
    <xf numFmtId="0" fontId="36" fillId="0" borderId="0">
      <alignment horizontal="left"/>
    </xf>
    <xf numFmtId="0" fontId="37" fillId="0" borderId="6" applyNumberFormat="0" applyAlignment="0" applyProtection="0">
      <alignment horizontal="left" vertical="center"/>
    </xf>
    <xf numFmtId="0" fontId="37" fillId="0" borderId="7">
      <alignment horizontal="left" vertical="center"/>
    </xf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0" fontId="34" fillId="7" borderId="1" applyNumberFormat="0" applyBorder="0" applyAlignment="0" applyProtection="0"/>
    <xf numFmtId="0" fontId="14" fillId="0" borderId="8">
      <protection locked="0"/>
    </xf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0" fillId="0" borderId="8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7" fontId="41" fillId="0" borderId="0"/>
    <xf numFmtId="0" fontId="12" fillId="0" borderId="0" applyNumberFormat="0" applyFill="0" applyBorder="0" applyAlignment="0" applyProtection="0"/>
    <xf numFmtId="190" fontId="14" fillId="0" borderId="0"/>
    <xf numFmtId="0" fontId="8" fillId="0" borderId="0"/>
    <xf numFmtId="0" fontId="12" fillId="0" borderId="0"/>
    <xf numFmtId="0" fontId="31" fillId="0" borderId="0">
      <protection locked="0"/>
    </xf>
    <xf numFmtId="10" fontId="12" fillId="0" borderId="0" applyFont="0" applyFill="0" applyBorder="0" applyAlignment="0" applyProtection="0"/>
    <xf numFmtId="0" fontId="32" fillId="0" borderId="0">
      <protection locked="0"/>
    </xf>
    <xf numFmtId="0" fontId="12" fillId="0" borderId="0"/>
    <xf numFmtId="0" fontId="40" fillId="0" borderId="0"/>
    <xf numFmtId="0" fontId="42" fillId="0" borderId="0" applyFill="0" applyBorder="0" applyProtection="0">
      <alignment horizontal="centerContinuous" vertical="center"/>
    </xf>
    <xf numFmtId="0" fontId="43" fillId="7" borderId="0" applyFill="0" applyBorder="0" applyProtection="0">
      <alignment horizontal="center" vertical="center"/>
    </xf>
    <xf numFmtId="0" fontId="12" fillId="0" borderId="9" applyNumberFormat="0" applyFont="0" applyFill="0" applyAlignment="0" applyProtection="0"/>
    <xf numFmtId="0" fontId="44" fillId="0" borderId="10">
      <alignment horizontal="left"/>
    </xf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5" fillId="0" borderId="0">
      <protection locked="0"/>
    </xf>
    <xf numFmtId="3" fontId="46" fillId="0" borderId="11" applyFill="0" applyBorder="0" applyAlignment="0" applyProtection="0">
      <alignment horizontal="centerContinuous" vertical="center"/>
    </xf>
    <xf numFmtId="0" fontId="14" fillId="0" borderId="0">
      <protection locked="0"/>
    </xf>
    <xf numFmtId="0" fontId="47" fillId="0" borderId="0">
      <protection locked="0"/>
    </xf>
    <xf numFmtId="0" fontId="47" fillId="0" borderId="0">
      <protection locked="0"/>
    </xf>
    <xf numFmtId="0" fontId="14" fillId="0" borderId="0">
      <protection locked="0"/>
    </xf>
    <xf numFmtId="0" fontId="32" fillId="0" borderId="0">
      <protection locked="0"/>
    </xf>
    <xf numFmtId="3" fontId="13" fillId="0" borderId="12">
      <alignment horizontal="center"/>
    </xf>
    <xf numFmtId="0" fontId="32" fillId="0" borderId="0"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40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41" fontId="50" fillId="0" borderId="1" applyNumberFormat="0" applyFont="0" applyFill="0" applyBorder="0" applyProtection="0">
      <alignment horizontal="distributed" vertical="center"/>
    </xf>
    <xf numFmtId="9" fontId="31" fillId="7" borderId="0" applyFill="0" applyBorder="0" applyProtection="0">
      <alignment horizontal="right"/>
    </xf>
    <xf numFmtId="10" fontId="31" fillId="0" borderId="0" applyFill="0" applyBorder="0" applyProtection="0">
      <alignment horizontal="right"/>
    </xf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0" fontId="51" fillId="0" borderId="0"/>
    <xf numFmtId="0" fontId="14" fillId="0" borderId="3" applyBorder="0"/>
    <xf numFmtId="193" fontId="14" fillId="0" borderId="0" applyNumberFormat="0" applyFont="0" applyFill="0" applyBorder="0" applyProtection="0">
      <alignment horizontal="centerContinuous" vertical="center"/>
    </xf>
    <xf numFmtId="0" fontId="52" fillId="0" borderId="13"/>
    <xf numFmtId="4" fontId="52" fillId="0" borderId="3"/>
    <xf numFmtId="195" fontId="14" fillId="0" borderId="3"/>
    <xf numFmtId="0" fontId="14" fillId="0" borderId="3"/>
    <xf numFmtId="196" fontId="14" fillId="0" borderId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/>
    <xf numFmtId="0" fontId="8" fillId="0" borderId="0"/>
    <xf numFmtId="0" fontId="15" fillId="0" borderId="0"/>
    <xf numFmtId="0" fontId="15" fillId="0" borderId="0"/>
    <xf numFmtId="0" fontId="8" fillId="0" borderId="0" applyFont="0" applyFill="0" applyBorder="0" applyAlignment="0" applyProtection="0"/>
    <xf numFmtId="0" fontId="15" fillId="0" borderId="0"/>
    <xf numFmtId="0" fontId="15" fillId="0" borderId="0"/>
    <xf numFmtId="0" fontId="54" fillId="0" borderId="14"/>
    <xf numFmtId="0" fontId="55" fillId="0" borderId="0">
      <alignment vertical="center"/>
    </xf>
    <xf numFmtId="4" fontId="32" fillId="0" borderId="0">
      <protection locked="0"/>
    </xf>
    <xf numFmtId="197" fontId="14" fillId="0" borderId="0">
      <protection locked="0"/>
    </xf>
    <xf numFmtId="0" fontId="56" fillId="2" borderId="0" applyNumberFormat="0" applyBorder="0" applyAlignment="0" applyProtection="0">
      <alignment vertical="center"/>
    </xf>
    <xf numFmtId="0" fontId="8" fillId="0" borderId="0"/>
    <xf numFmtId="41" fontId="14" fillId="0" borderId="0" applyFont="0" applyFill="0" applyBorder="0" applyAlignment="0" applyProtection="0"/>
    <xf numFmtId="0" fontId="14" fillId="7" borderId="0" applyFill="0" applyBorder="0" applyProtection="0">
      <alignment horizontal="right"/>
    </xf>
    <xf numFmtId="38" fontId="50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>
      <alignment vertical="center"/>
    </xf>
    <xf numFmtId="198" fontId="50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199" fontId="53" fillId="0" borderId="0" applyFont="0" applyFill="0" applyBorder="0" applyAlignment="0" applyProtection="0"/>
    <xf numFmtId="200" fontId="14" fillId="0" borderId="0">
      <protection locked="0"/>
    </xf>
    <xf numFmtId="0" fontId="14" fillId="0" borderId="0"/>
    <xf numFmtId="0" fontId="57" fillId="0" borderId="0">
      <alignment vertical="center"/>
    </xf>
    <xf numFmtId="0" fontId="14" fillId="0" borderId="0">
      <alignment vertical="center"/>
    </xf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14" fillId="0" borderId="0"/>
    <xf numFmtId="3" fontId="10" fillId="0" borderId="1" applyFill="0" applyBorder="0" applyAlignment="0" applyProtection="0"/>
    <xf numFmtId="0" fontId="32" fillId="0" borderId="9">
      <protection locked="0"/>
    </xf>
    <xf numFmtId="201" fontId="14" fillId="0" borderId="0">
      <protection locked="0"/>
    </xf>
    <xf numFmtId="202" fontId="14" fillId="0" borderId="0">
      <protection locked="0"/>
    </xf>
  </cellStyleXfs>
  <cellXfs count="97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quotePrefix="1" applyAlignment="1">
      <alignment vertical="center"/>
    </xf>
    <xf numFmtId="176" fontId="0" fillId="0" borderId="0" xfId="0" applyNumberForma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5" fillId="3" borderId="1" xfId="0" quotePrefix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6" fontId="5" fillId="3" borderId="1" xfId="0" applyNumberFormat="1" applyFont="1" applyFill="1" applyBorder="1" applyAlignment="1">
      <alignment vertical="center" wrapText="1"/>
    </xf>
    <xf numFmtId="0" fontId="5" fillId="4" borderId="1" xfId="0" quotePrefix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76" fontId="5" fillId="4" borderId="1" xfId="0" applyNumberFormat="1" applyFont="1" applyFill="1" applyBorder="1" applyAlignment="1">
      <alignment vertical="center" wrapText="1"/>
    </xf>
    <xf numFmtId="0" fontId="5" fillId="5" borderId="1" xfId="0" quotePrefix="1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176" fontId="5" fillId="5" borderId="1" xfId="0" applyNumberFormat="1" applyFont="1" applyFill="1" applyBorder="1" applyAlignment="1">
      <alignment vertical="center" wrapText="1"/>
    </xf>
    <xf numFmtId="0" fontId="14" fillId="0" borderId="0" xfId="838"/>
    <xf numFmtId="0" fontId="57" fillId="0" borderId="0" xfId="833">
      <alignment vertical="center"/>
    </xf>
    <xf numFmtId="0" fontId="58" fillId="0" borderId="0" xfId="838" applyFont="1"/>
    <xf numFmtId="0" fontId="60" fillId="0" borderId="0" xfId="838" applyFont="1" applyAlignment="1"/>
    <xf numFmtId="0" fontId="61" fillId="0" borderId="0" xfId="838" applyFont="1" applyAlignment="1">
      <alignment horizontal="left"/>
    </xf>
    <xf numFmtId="0" fontId="64" fillId="0" borderId="0" xfId="838" applyFont="1"/>
    <xf numFmtId="0" fontId="66" fillId="0" borderId="1" xfId="833" quotePrefix="1" applyFont="1" applyBorder="1" applyAlignment="1">
      <alignment horizontal="center" vertical="center" wrapText="1"/>
    </xf>
    <xf numFmtId="0" fontId="57" fillId="0" borderId="0" xfId="833" quotePrefix="1">
      <alignment vertical="center"/>
    </xf>
    <xf numFmtId="0" fontId="6" fillId="0" borderId="1" xfId="833" quotePrefix="1" applyFont="1" applyBorder="1" applyAlignment="1">
      <alignment horizontal="center" vertical="center" wrapText="1"/>
    </xf>
    <xf numFmtId="176" fontId="6" fillId="0" borderId="1" xfId="833" applyNumberFormat="1" applyFont="1" applyBorder="1" applyAlignment="1">
      <alignment vertical="center" wrapText="1"/>
    </xf>
    <xf numFmtId="0" fontId="6" fillId="0" borderId="1" xfId="833" quotePrefix="1" applyFont="1" applyBorder="1" applyAlignment="1">
      <alignment vertical="center" wrapText="1"/>
    </xf>
    <xf numFmtId="176" fontId="57" fillId="0" borderId="0" xfId="833" applyNumberFormat="1">
      <alignment vertical="center"/>
    </xf>
    <xf numFmtId="176" fontId="6" fillId="0" borderId="1" xfId="833" quotePrefix="1" applyNumberFormat="1" applyFont="1" applyBorder="1" applyAlignment="1">
      <alignment vertical="center" wrapText="1"/>
    </xf>
    <xf numFmtId="0" fontId="6" fillId="0" borderId="1" xfId="833" applyFont="1" applyBorder="1" applyAlignment="1">
      <alignment vertical="center" wrapText="1"/>
    </xf>
    <xf numFmtId="0" fontId="57" fillId="6" borderId="0" xfId="833" quotePrefix="1" applyFill="1">
      <alignment vertical="center"/>
    </xf>
    <xf numFmtId="0" fontId="6" fillId="6" borderId="1" xfId="833" quotePrefix="1" applyFont="1" applyFill="1" applyBorder="1" applyAlignment="1">
      <alignment horizontal="center" vertical="center" wrapText="1"/>
    </xf>
    <xf numFmtId="176" fontId="6" fillId="6" borderId="1" xfId="833" applyNumberFormat="1" applyFont="1" applyFill="1" applyBorder="1" applyAlignment="1">
      <alignment vertical="center" wrapText="1"/>
    </xf>
    <xf numFmtId="0" fontId="57" fillId="6" borderId="0" xfId="833" applyFill="1">
      <alignment vertical="center"/>
    </xf>
    <xf numFmtId="0" fontId="57" fillId="0" borderId="1" xfId="833" quotePrefix="1" applyFont="1" applyBorder="1" applyAlignment="1">
      <alignment vertical="center" wrapText="1"/>
    </xf>
    <xf numFmtId="0" fontId="57" fillId="0" borderId="1" xfId="833" applyBorder="1" applyAlignment="1">
      <alignment vertical="center" wrapText="1"/>
    </xf>
    <xf numFmtId="0" fontId="67" fillId="0" borderId="0" xfId="833" applyFont="1" applyAlignment="1">
      <alignment horizontal="left" vertical="center"/>
    </xf>
    <xf numFmtId="0" fontId="57" fillId="0" borderId="0" xfId="833" applyAlignment="1">
      <alignment horizontal="left" vertical="center"/>
    </xf>
    <xf numFmtId="0" fontId="14" fillId="0" borderId="0" xfId="822">
      <alignment vertical="center"/>
    </xf>
    <xf numFmtId="0" fontId="69" fillId="0" borderId="1" xfId="822" applyFont="1" applyBorder="1" applyAlignment="1">
      <alignment horizontal="center" vertical="center"/>
    </xf>
    <xf numFmtId="203" fontId="14" fillId="4" borderId="1" xfId="822" applyNumberFormat="1" applyFont="1" applyFill="1" applyBorder="1" applyAlignment="1">
      <alignment vertical="center"/>
    </xf>
    <xf numFmtId="203" fontId="14" fillId="0" borderId="1" xfId="822" quotePrefix="1" applyNumberFormat="1" applyFont="1" applyBorder="1" applyAlignment="1">
      <alignment vertical="center"/>
    </xf>
    <xf numFmtId="203" fontId="14" fillId="0" borderId="1" xfId="822" applyNumberFormat="1" applyFont="1" applyBorder="1" applyAlignment="1">
      <alignment horizontal="center" vertical="center"/>
    </xf>
    <xf numFmtId="203" fontId="14" fillId="0" borderId="1" xfId="822" applyNumberFormat="1" applyFont="1" applyBorder="1" applyAlignment="1">
      <alignment vertical="center"/>
    </xf>
    <xf numFmtId="203" fontId="14" fillId="0" borderId="0" xfId="822" applyNumberFormat="1" applyFont="1">
      <alignment vertical="center"/>
    </xf>
    <xf numFmtId="0" fontId="14" fillId="0" borderId="0" xfId="822" applyFont="1">
      <alignment vertical="center"/>
    </xf>
    <xf numFmtId="203" fontId="14" fillId="8" borderId="1" xfId="822" applyNumberFormat="1" applyFont="1" applyFill="1" applyBorder="1" applyAlignment="1">
      <alignment vertical="center"/>
    </xf>
    <xf numFmtId="203" fontId="14" fillId="0" borderId="2" xfId="822" quotePrefix="1" applyNumberFormat="1" applyFont="1" applyBorder="1" applyAlignment="1">
      <alignment vertical="center"/>
    </xf>
    <xf numFmtId="203" fontId="14" fillId="0" borderId="2" xfId="822" applyNumberFormat="1" applyFont="1" applyBorder="1" applyAlignment="1">
      <alignment vertical="center"/>
    </xf>
    <xf numFmtId="203" fontId="14" fillId="7" borderId="2" xfId="822" applyNumberFormat="1" applyFont="1" applyFill="1" applyBorder="1" applyAlignment="1">
      <alignment vertical="center"/>
    </xf>
    <xf numFmtId="203" fontId="14" fillId="4" borderId="1" xfId="822" quotePrefix="1" applyNumberFormat="1" applyFont="1" applyFill="1" applyBorder="1" applyAlignment="1">
      <alignment vertical="center"/>
    </xf>
    <xf numFmtId="203" fontId="14" fillId="7" borderId="1" xfId="822" applyNumberFormat="1" applyFont="1" applyFill="1" applyBorder="1" applyAlignment="1">
      <alignment vertical="center"/>
    </xf>
    <xf numFmtId="203" fontId="14" fillId="7" borderId="0" xfId="822" applyNumberFormat="1" applyFont="1" applyFill="1">
      <alignment vertical="center"/>
    </xf>
    <xf numFmtId="0" fontId="14" fillId="7" borderId="0" xfId="822" applyFont="1" applyFill="1">
      <alignment vertical="center"/>
    </xf>
    <xf numFmtId="203" fontId="14" fillId="6" borderId="1" xfId="822" applyNumberFormat="1" applyFont="1" applyFill="1" applyBorder="1" applyAlignment="1">
      <alignment vertical="center"/>
    </xf>
    <xf numFmtId="0" fontId="14" fillId="6" borderId="0" xfId="822" applyFont="1" applyFill="1">
      <alignment vertical="center"/>
    </xf>
    <xf numFmtId="203" fontId="14" fillId="6" borderId="0" xfId="822" applyNumberFormat="1" applyFont="1" applyFill="1">
      <alignment vertical="center"/>
    </xf>
    <xf numFmtId="203" fontId="14" fillId="6" borderId="1" xfId="822" quotePrefix="1" applyNumberFormat="1" applyFont="1" applyFill="1" applyBorder="1" applyAlignment="1">
      <alignment vertical="center"/>
    </xf>
    <xf numFmtId="203" fontId="14" fillId="6" borderId="1" xfId="822" applyNumberFormat="1" applyFont="1" applyFill="1" applyBorder="1" applyAlignment="1">
      <alignment horizontal="center" vertical="center"/>
    </xf>
    <xf numFmtId="203" fontId="14" fillId="6" borderId="2" xfId="822" applyNumberFormat="1" applyFont="1" applyFill="1" applyBorder="1" applyAlignment="1">
      <alignment vertical="center"/>
    </xf>
    <xf numFmtId="0" fontId="69" fillId="0" borderId="0" xfId="822" applyFont="1">
      <alignment vertical="center"/>
    </xf>
    <xf numFmtId="0" fontId="14" fillId="0" borderId="15" xfId="822" applyBorder="1">
      <alignment vertical="center"/>
    </xf>
    <xf numFmtId="0" fontId="70" fillId="0" borderId="1" xfId="833" quotePrefix="1" applyFont="1" applyFill="1" applyBorder="1" applyAlignment="1">
      <alignment vertical="center" wrapText="1"/>
    </xf>
    <xf numFmtId="0" fontId="70" fillId="0" borderId="1" xfId="833" applyFont="1" applyFill="1" applyBorder="1" applyAlignment="1">
      <alignment vertical="center" wrapText="1"/>
    </xf>
    <xf numFmtId="0" fontId="57" fillId="0" borderId="1" xfId="833" applyFont="1" applyFill="1" applyBorder="1" applyAlignment="1">
      <alignment vertical="center" wrapText="1"/>
    </xf>
    <xf numFmtId="0" fontId="70" fillId="0" borderId="1" xfId="833" quotePrefix="1" applyFont="1" applyBorder="1" applyAlignment="1">
      <alignment vertical="center" wrapText="1"/>
    </xf>
    <xf numFmtId="0" fontId="70" fillId="6" borderId="1" xfId="833" quotePrefix="1" applyFont="1" applyFill="1" applyBorder="1" applyAlignment="1">
      <alignment vertical="center" wrapText="1"/>
    </xf>
    <xf numFmtId="0" fontId="0" fillId="0" borderId="0" xfId="0" quotePrefix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0" fillId="0" borderId="0" xfId="838" applyFont="1" applyAlignment="1">
      <alignment horizontal="center"/>
    </xf>
    <xf numFmtId="0" fontId="63" fillId="0" borderId="0" xfId="838" applyFont="1" applyAlignment="1">
      <alignment horizontal="center"/>
    </xf>
    <xf numFmtId="0" fontId="59" fillId="0" borderId="0" xfId="838" applyFont="1" applyAlignment="1">
      <alignment horizontal="center"/>
    </xf>
    <xf numFmtId="0" fontId="61" fillId="0" borderId="0" xfId="838" applyFont="1" applyAlignment="1">
      <alignment horizontal="left"/>
    </xf>
    <xf numFmtId="0" fontId="62" fillId="0" borderId="0" xfId="838" applyFont="1" applyAlignment="1">
      <alignment horizontal="center"/>
    </xf>
    <xf numFmtId="0" fontId="6" fillId="0" borderId="1" xfId="833" quotePrefix="1" applyFont="1" applyBorder="1" applyAlignment="1">
      <alignment vertical="center" wrapText="1"/>
    </xf>
    <xf numFmtId="0" fontId="6" fillId="0" borderId="1" xfId="833" quotePrefix="1" applyFont="1" applyBorder="1" applyAlignment="1">
      <alignment horizontal="center" vertical="center" wrapText="1"/>
    </xf>
    <xf numFmtId="0" fontId="65" fillId="0" borderId="0" xfId="833" applyFont="1" applyAlignment="1">
      <alignment horizontal="center" vertical="center"/>
    </xf>
    <xf numFmtId="0" fontId="66" fillId="0" borderId="0" xfId="833" applyFont="1" applyAlignment="1">
      <alignment vertical="center"/>
    </xf>
    <xf numFmtId="0" fontId="66" fillId="0" borderId="0" xfId="833" applyFont="1" applyAlignment="1">
      <alignment horizontal="right" vertical="center"/>
    </xf>
    <xf numFmtId="0" fontId="66" fillId="0" borderId="1" xfId="833" quotePrefix="1" applyFont="1" applyBorder="1" applyAlignment="1">
      <alignment horizontal="center" vertical="center" wrapText="1"/>
    </xf>
    <xf numFmtId="0" fontId="6" fillId="0" borderId="1" xfId="833" quotePrefix="1" applyFont="1" applyBorder="1" applyAlignment="1">
      <alignment horizontal="distributed" vertical="center" wrapText="1"/>
    </xf>
    <xf numFmtId="0" fontId="68" fillId="0" borderId="0" xfId="822" applyFont="1" applyAlignment="1">
      <alignment horizontal="center" vertical="center"/>
    </xf>
    <xf numFmtId="0" fontId="69" fillId="0" borderId="0" xfId="822" applyFont="1">
      <alignment vertical="center"/>
    </xf>
    <xf numFmtId="0" fontId="69" fillId="0" borderId="0" xfId="822" quotePrefix="1" applyFont="1">
      <alignment vertical="center"/>
    </xf>
    <xf numFmtId="0" fontId="69" fillId="0" borderId="1" xfId="82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>
      <alignment vertical="center"/>
    </xf>
  </cellXfs>
  <cellStyles count="843">
    <cellStyle name="#,##0" xfId="2"/>
    <cellStyle name=";;;" xfId="3"/>
    <cellStyle name="??&amp;5_x0007_?._x0007_9_x0008_??_x0007__x0001__x0001_" xfId="4"/>
    <cellStyle name="??&amp;6_x0007_?/_x0007_9_x0008_??_x0007__x0001__x0001_" xfId="5"/>
    <cellStyle name="??&amp;O?&amp;H?_x0008__x000f__x0007_?_x0007__x0001__x0001_" xfId="6"/>
    <cellStyle name="??&amp;O?&amp;H?_x0008_??_x0007__x0001__x0001_" xfId="7"/>
    <cellStyle name="??&amp;멅?둃9_x0008_??_x0007__x0001__x0001_" xfId="8"/>
    <cellStyle name="_06년 11월 설계변경현황(11월20일 최종결재분)" xfId="9"/>
    <cellStyle name="_1.사전공사&amp;추가원가 제도(요령,각종 품의서 약식) " xfId="10"/>
    <cellStyle name="_1.토공" xfId="11"/>
    <cellStyle name="_2004(노귀재)내역서(설계변경용)" xfId="12"/>
    <cellStyle name="_2-4.상반기실적부문별요약" xfId="13"/>
    <cellStyle name="_2-4.상반기실적부문별요약(표지및목차포함)" xfId="14"/>
    <cellStyle name="_2-4.상반기실적부문별요약(표지및목차포함)_1" xfId="15"/>
    <cellStyle name="_2-4.상반기실적부문별요약_1" xfId="16"/>
    <cellStyle name="_3차내시변경" xfId="17"/>
    <cellStyle name="_3차변경내역(1130)" xfId="18"/>
    <cellStyle name="_3차변경내역(1130)_4차공사내시변경" xfId="19"/>
    <cellStyle name="_4차(사전공사)" xfId="20"/>
    <cellStyle name="_4차(사전공사)_4차공사내시변경" xfId="21"/>
    <cellStyle name="_'99상반기경영개선활동결과(게시용)" xfId="22"/>
    <cellStyle name="_FCST (2)" xfId="23"/>
    <cellStyle name="_port" xfId="24"/>
    <cellStyle name="_SK건설추정견적" xfId="25"/>
    <cellStyle name="_가은-마성간1차(변경)" xfId="26"/>
    <cellStyle name="_가은-마성간도로확포장1차공사" xfId="27"/>
    <cellStyle name="_가은-마성간도로확포장공사" xfId="28"/>
    <cellStyle name="_거제U-2(3차)" xfId="29"/>
    <cellStyle name="_거제U-2(3차)_거제U-2(3차)" xfId="30"/>
    <cellStyle name="_거제U-2(3차)_거제U-2(3차)_서후-평은(투찰)" xfId="31"/>
    <cellStyle name="_거제U-2(3차)_거제U-2(3차)_서후-평은(투찰)_실행(1)" xfId="32"/>
    <cellStyle name="_거제U-2(3차)_거제U-2(3차)_서후-평은(투찰)_정읍∼완주간 1공구(투찰)" xfId="33"/>
    <cellStyle name="_거제U-2(3차)_거제U-2(3차)_서후-평은(투찰)_정읍∼완주간 1공구(투찰)_실행(1)" xfId="34"/>
    <cellStyle name="_거제U-2(3차)_거제U-2(3차)_실행(1)" xfId="35"/>
    <cellStyle name="_거제U-2(3차)_거제U-2(3차)_정읍∼완주간 1공구(투찰)" xfId="36"/>
    <cellStyle name="_거제U-2(3차)_거제U-2(3차)_정읍∼완주간 1공구(투찰)_실행(1)" xfId="37"/>
    <cellStyle name="_거제U-2(3차)_서후-평은(투찰)" xfId="38"/>
    <cellStyle name="_거제U-2(3차)_서후-평은(투찰)_실행(1)" xfId="39"/>
    <cellStyle name="_거제U-2(3차)_서후-평은(투찰)_정읍∼완주간 1공구(투찰)" xfId="40"/>
    <cellStyle name="_거제U-2(3차)_서후-평은(투찰)_정읍∼완주간 1공구(투찰)_실행(1)" xfId="41"/>
    <cellStyle name="_거제U-2(3차)_실행(1)" xfId="42"/>
    <cellStyle name="_거제U-2(3차)_정읍∼완주간 1공구(투찰)" xfId="43"/>
    <cellStyle name="_거제U-2(3차)_정읍∼완주간 1공구(투찰)_실행(1)" xfId="44"/>
    <cellStyle name="_경영개선활동상반기실적(990708)" xfId="45"/>
    <cellStyle name="_경영개선활동상반기실적(990708)_1" xfId="46"/>
    <cellStyle name="_경영개선활동상반기실적(990708)_2" xfId="47"/>
    <cellStyle name="_경영개선활성화방안(990802)" xfId="48"/>
    <cellStyle name="_경영개선활성화방안(990802)_1" xfId="49"/>
    <cellStyle name="_경유세(건설기계)" xfId="50"/>
    <cellStyle name="_경유세물공량확정(현동-임곡1)(1)" xfId="51"/>
    <cellStyle name="_공사현황병풍(3차발주)" xfId="52"/>
    <cellStyle name="_관리비(벌교2-1)" xfId="53"/>
    <cellStyle name="_광주평동실행" xfId="54"/>
    <cellStyle name="_광주평동실행_4차공사내시변경" xfId="55"/>
    <cellStyle name="_광주평동실행_경유세(건설기계)" xfId="56"/>
    <cellStyle name="_광주평동품의1" xfId="57"/>
    <cellStyle name="_광주평동품의1_4차공사내시변경" xfId="58"/>
    <cellStyle name="_광주평동품의1_경유세(건설기계)" xfId="59"/>
    <cellStyle name="_교량점검로" xfId="60"/>
    <cellStyle name="_기성0307" xfId="61"/>
    <cellStyle name="_기성09" xfId="62"/>
    <cellStyle name="_기장하수실행1" xfId="63"/>
    <cellStyle name="_기장하수실행1_4차공사내시변경" xfId="64"/>
    <cellStyle name="_기장하수실행1_경유세(건설기계)" xfId="65"/>
    <cellStyle name="_남면약목(투찰)" xfId="66"/>
    <cellStyle name="_내역" xfId="67"/>
    <cellStyle name="_내역서" xfId="68"/>
    <cellStyle name="_내역서(1)" xfId="69"/>
    <cellStyle name="_내역서(1차공사발주)(1)" xfId="70"/>
    <cellStyle name="_노귀재발주3차(설계설명서)" xfId="71"/>
    <cellStyle name="_도고천품의안11" xfId="72"/>
    <cellStyle name="_도고천품의안11_1" xfId="73"/>
    <cellStyle name="_도고천품의안11_1_4차공사내시변경" xfId="74"/>
    <cellStyle name="_도고천품의안11_1_경유세(건설기계)" xfId="75"/>
    <cellStyle name="_도고천품의안11_4차공사내시변경" xfId="76"/>
    <cellStyle name="_도고천품의안11_경유세(건설기계)" xfId="77"/>
    <cellStyle name="_도고천품의안11_광주평동실행" xfId="78"/>
    <cellStyle name="_도고천품의안11_광주평동실행_4차공사내시변경" xfId="79"/>
    <cellStyle name="_도고천품의안11_광주평동실행_경유세(건설기계)" xfId="80"/>
    <cellStyle name="_도고천품의안11_광주평동품의1" xfId="81"/>
    <cellStyle name="_도고천품의안11_광주평동품의1_4차공사내시변경" xfId="82"/>
    <cellStyle name="_도고천품의안11_광주평동품의1_경유세(건설기계)" xfId="83"/>
    <cellStyle name="_도고천품의안11_송학실행안" xfId="84"/>
    <cellStyle name="_도고천품의안11_송학실행안_4차공사내시변경" xfId="85"/>
    <cellStyle name="_도고천품의안11_송학실행안_경유세(건설기계)" xfId="86"/>
    <cellStyle name="_도고천품의안11_송학하수품의(설계넣고)" xfId="87"/>
    <cellStyle name="_도고천품의안11_송학하수품의(설계넣고)_4차공사내시변경" xfId="88"/>
    <cellStyle name="_도고천품의안11_송학하수품의(설계넣고)_경유세(건설기계)" xfId="89"/>
    <cellStyle name="_도곡1교 교대 수량" xfId="90"/>
    <cellStyle name="_도곡1교 교대 수량_4차공사내시변경" xfId="91"/>
    <cellStyle name="_도곡1교 교대 수량_최종수로암거" xfId="92"/>
    <cellStyle name="_도곡1교 교대 수량_최종수로암거_4차공사내시변경" xfId="93"/>
    <cellStyle name="_도곡1교 교대 수량_최종수로암거_최종수로암거" xfId="94"/>
    <cellStyle name="_도곡1교 교대 수량_최종수로암거_최종수로암거_4차공사내시변경" xfId="95"/>
    <cellStyle name="_도곡1교 교대(시점) 수량" xfId="96"/>
    <cellStyle name="_도곡1교 교대(시점) 수량_4차공사내시변경" xfId="97"/>
    <cellStyle name="_도곡1교 교대(시점) 수량_최종수로암거" xfId="98"/>
    <cellStyle name="_도곡1교 교대(시점) 수량_최종수로암거_4차공사내시변경" xfId="99"/>
    <cellStyle name="_도곡1교 교대(시점) 수량_최종수로암거_최종수로암거" xfId="100"/>
    <cellStyle name="_도곡1교 교대(시점) 수량_최종수로암거_최종수로암거_4차공사내시변경" xfId="101"/>
    <cellStyle name="_도곡1교 하부공 수량" xfId="102"/>
    <cellStyle name="_도곡1교 하부공 수량_4차공사내시변경" xfId="103"/>
    <cellStyle name="_도곡1교 하부공 수량_최종수로암거" xfId="104"/>
    <cellStyle name="_도곡1교 하부공 수량_최종수로암거_4차공사내시변경" xfId="105"/>
    <cellStyle name="_도곡1교 하부공 수량_최종수로암거_최종수로암거" xfId="106"/>
    <cellStyle name="_도곡1교 하부공 수량_최종수로암거_최종수로암거_4차공사내시변경" xfId="107"/>
    <cellStyle name="_도곡2교 교대 수량" xfId="108"/>
    <cellStyle name="_도곡2교 교대 수량_4차공사내시변경" xfId="109"/>
    <cellStyle name="_도곡2교 교대 수량_최종수로암거" xfId="110"/>
    <cellStyle name="_도곡2교 교대 수량_최종수로암거_4차공사내시변경" xfId="111"/>
    <cellStyle name="_도곡2교 교대 수량_최종수로암거_최종수로암거" xfId="112"/>
    <cellStyle name="_도곡2교 교대 수량_최종수로암거_최종수로암거_4차공사내시변경" xfId="113"/>
    <cellStyle name="_도곡2교 교대(종점) 수량" xfId="114"/>
    <cellStyle name="_도곡2교 교대(종점) 수량_4차공사내시변경" xfId="115"/>
    <cellStyle name="_도곡2교 교대(종점) 수량_최종수로암거" xfId="116"/>
    <cellStyle name="_도곡2교 교대(종점) 수량_최종수로암거_4차공사내시변경" xfId="117"/>
    <cellStyle name="_도곡2교 교대(종점) 수량_최종수로암거_최종수로암거" xfId="118"/>
    <cellStyle name="_도곡2교 교대(종점) 수량_최종수로암거_최종수로암거_4차공사내시변경" xfId="119"/>
    <cellStyle name="_도곡3교 교대 수량" xfId="120"/>
    <cellStyle name="_도곡3교 교대 수량_4차공사내시변경" xfId="121"/>
    <cellStyle name="_도곡3교 교대 수량_최종수로암거" xfId="122"/>
    <cellStyle name="_도곡3교 교대 수량_최종수로암거_4차공사내시변경" xfId="123"/>
    <cellStyle name="_도곡3교 교대 수량_최종수로암거_최종수로암거" xfId="124"/>
    <cellStyle name="_도곡3교 교대 수량_최종수로암거_최종수로암거_4차공사내시변경" xfId="125"/>
    <cellStyle name="_도곡4교 하부공 수량" xfId="126"/>
    <cellStyle name="_도곡4교 하부공 수량_4차공사내시변경" xfId="127"/>
    <cellStyle name="_도곡4교 하부공 수량_최종수로암거" xfId="128"/>
    <cellStyle name="_도곡4교 하부공 수량_최종수로암거_4차공사내시변경" xfId="129"/>
    <cellStyle name="_도곡4교 하부공 수량_최종수로암거_최종수로암거" xfId="130"/>
    <cellStyle name="_도곡4교 하부공 수량_최종수로암거_최종수로암거_4차공사내시변경" xfId="131"/>
    <cellStyle name="_도곡교 교대 수량" xfId="132"/>
    <cellStyle name="_도곡교 교대 수량_4차공사내시변경" xfId="133"/>
    <cellStyle name="_도곡교 교대 수량_최종수로암거" xfId="134"/>
    <cellStyle name="_도곡교 교대 수량_최종수로암거_4차공사내시변경" xfId="135"/>
    <cellStyle name="_도곡교 교대 수량_최종수로암거_최종수로암거" xfId="136"/>
    <cellStyle name="_도곡교 교대 수량_최종수로암거_최종수로암거_4차공사내시변경" xfId="137"/>
    <cellStyle name="_매정견적보고" xfId="138"/>
    <cellStyle name="_명암지도로실행" xfId="139"/>
    <cellStyle name="_명암지도로실행_4차공사내시변경" xfId="140"/>
    <cellStyle name="_명암지도로실행_경유세(건설기계)" xfId="141"/>
    <cellStyle name="_배수공집계" xfId="142"/>
    <cellStyle name="_벌교-주암2(동준)" xfId="143"/>
    <cellStyle name="_변경내역서1" xfId="144"/>
    <cellStyle name="_변경요약" xfId="145"/>
    <cellStyle name="_변경현황" xfId="146"/>
    <cellStyle name="_별첨(계획서및실적서양식)" xfId="147"/>
    <cellStyle name="_별첨(계획서및실적서양식)_1" xfId="148"/>
    <cellStyle name="_서후-평은(투찰)" xfId="149"/>
    <cellStyle name="_서후-평은(투찰)_실행(1)" xfId="150"/>
    <cellStyle name="_서후-평은(투찰)_정읍∼완주간 1공구(투찰)" xfId="151"/>
    <cellStyle name="_서후-평은(투찰)_정읍∼완주간 1공구(투찰)_실행(1)" xfId="152"/>
    <cellStyle name="_설계추정2(토목)대림" xfId="153"/>
    <cellStyle name="_설변내역" xfId="154"/>
    <cellStyle name="_설변내역1차" xfId="155"/>
    <cellStyle name="_설변내역2" xfId="156"/>
    <cellStyle name="_설변내역2차" xfId="157"/>
    <cellStyle name="_설변내역2차2" xfId="158"/>
    <cellStyle name="_송학실행안" xfId="159"/>
    <cellStyle name="_송학실행안_4차공사내시변경" xfId="160"/>
    <cellStyle name="_송학실행안_경유세(건설기계)" xfId="161"/>
    <cellStyle name="_송학하수투찰" xfId="162"/>
    <cellStyle name="_송학하수투찰_4차공사내시변경" xfId="163"/>
    <cellStyle name="_송학하수투찰_경유세(건설기계)" xfId="164"/>
    <cellStyle name="_송학하수품의(설계넣고)" xfId="165"/>
    <cellStyle name="_송학하수품의(설계넣고)_4차공사내시변경" xfId="166"/>
    <cellStyle name="_송학하수품의(설계넣고)_경유세(건설기계)" xfId="167"/>
    <cellStyle name="_수 량 연화.내감" xfId="168"/>
    <cellStyle name="_수량산출 구눌하수도" xfId="169"/>
    <cellStyle name="_실행(1)" xfId="170"/>
    <cellStyle name="_양식" xfId="171"/>
    <cellStyle name="_양식_1" xfId="172"/>
    <cellStyle name="_양식_2" xfId="173"/>
    <cellStyle name="_우" xfId="174"/>
    <cellStyle name="_우_4차공사내시변경" xfId="175"/>
    <cellStyle name="_우_경유세(건설기계)" xfId="176"/>
    <cellStyle name="_우_광주평동실행" xfId="177"/>
    <cellStyle name="_우_광주평동실행_4차공사내시변경" xfId="178"/>
    <cellStyle name="_우_광주평동실행_경유세(건설기계)" xfId="179"/>
    <cellStyle name="_우_광주평동품의1" xfId="180"/>
    <cellStyle name="_우_광주평동품의1_4차공사내시변경" xfId="181"/>
    <cellStyle name="_우_광주평동품의1_경유세(건설기계)" xfId="182"/>
    <cellStyle name="_우_기장하수실행1" xfId="183"/>
    <cellStyle name="_우_기장하수실행1_4차공사내시변경" xfId="184"/>
    <cellStyle name="_우_기장하수실행1_경유세(건설기계)" xfId="185"/>
    <cellStyle name="_우_송학실행안" xfId="186"/>
    <cellStyle name="_우_송학실행안_4차공사내시변경" xfId="187"/>
    <cellStyle name="_우_송학실행안_경유세(건설기계)" xfId="188"/>
    <cellStyle name="_우_송학하수투찰" xfId="189"/>
    <cellStyle name="_우_송학하수투찰_4차공사내시변경" xfId="190"/>
    <cellStyle name="_우_송학하수투찰_경유세(건설기계)" xfId="191"/>
    <cellStyle name="_우_송학하수품의(설계넣고)" xfId="192"/>
    <cellStyle name="_우_송학하수품의(설계넣고)_4차공사내시변경" xfId="193"/>
    <cellStyle name="_우_송학하수품의(설계넣고)_경유세(건설기계)" xfId="194"/>
    <cellStyle name="_우_우주센터투찰" xfId="195"/>
    <cellStyle name="_우_우주센터투찰_4차공사내시변경" xfId="196"/>
    <cellStyle name="_우_우주센터투찰_경유세(건설기계)" xfId="197"/>
    <cellStyle name="_우_우주센터투찰_광주평동실행" xfId="198"/>
    <cellStyle name="_우_우주센터투찰_광주평동실행_4차공사내시변경" xfId="199"/>
    <cellStyle name="_우_우주센터투찰_광주평동실행_경유세(건설기계)" xfId="200"/>
    <cellStyle name="_우_우주센터투찰_광주평동품의1" xfId="201"/>
    <cellStyle name="_우_우주센터투찰_광주평동품의1_4차공사내시변경" xfId="202"/>
    <cellStyle name="_우_우주센터투찰_광주평동품의1_경유세(건설기계)" xfId="203"/>
    <cellStyle name="_우_우주센터투찰_기장하수실행1" xfId="204"/>
    <cellStyle name="_우_우주센터투찰_기장하수실행1_4차공사내시변경" xfId="205"/>
    <cellStyle name="_우_우주센터투찰_기장하수실행1_경유세(건설기계)" xfId="206"/>
    <cellStyle name="_우_우주센터투찰_송학실행안" xfId="207"/>
    <cellStyle name="_우_우주센터투찰_송학실행안_4차공사내시변경" xfId="208"/>
    <cellStyle name="_우_우주센터투찰_송학실행안_경유세(건설기계)" xfId="209"/>
    <cellStyle name="_우_우주센터투찰_송학하수투찰" xfId="210"/>
    <cellStyle name="_우_우주센터투찰_송학하수투찰_4차공사내시변경" xfId="211"/>
    <cellStyle name="_우_우주센터투찰_송학하수투찰_경유세(건설기계)" xfId="212"/>
    <cellStyle name="_우_우주센터투찰_송학하수품의(설계넣고)" xfId="213"/>
    <cellStyle name="_우_우주센터투찰_송학하수품의(설계넣고)_4차공사내시변경" xfId="214"/>
    <cellStyle name="_우_우주센터투찰_송학하수품의(설계넣고)_경유세(건설기계)" xfId="215"/>
    <cellStyle name="_우주센" xfId="216"/>
    <cellStyle name="_우주센_4차공사내시변경" xfId="217"/>
    <cellStyle name="_우주센_경유세(건설기계)" xfId="218"/>
    <cellStyle name="_우주센_광주평동실행" xfId="219"/>
    <cellStyle name="_우주센_광주평동실행_4차공사내시변경" xfId="220"/>
    <cellStyle name="_우주센_광주평동실행_경유세(건설기계)" xfId="221"/>
    <cellStyle name="_우주센_광주평동품의1" xfId="222"/>
    <cellStyle name="_우주센_광주평동품의1_4차공사내시변경" xfId="223"/>
    <cellStyle name="_우주센_광주평동품의1_경유세(건설기계)" xfId="224"/>
    <cellStyle name="_우주센_기장하수실행1" xfId="225"/>
    <cellStyle name="_우주센_기장하수실행1_4차공사내시변경" xfId="226"/>
    <cellStyle name="_우주센_기장하수실행1_경유세(건설기계)" xfId="227"/>
    <cellStyle name="_우주센_송학실행안" xfId="228"/>
    <cellStyle name="_우주센_송학실행안_4차공사내시변경" xfId="229"/>
    <cellStyle name="_우주센_송학실행안_경유세(건설기계)" xfId="230"/>
    <cellStyle name="_우주센_송학하수투찰" xfId="231"/>
    <cellStyle name="_우주센_송학하수투찰_4차공사내시변경" xfId="232"/>
    <cellStyle name="_우주센_송학하수투찰_경유세(건설기계)" xfId="233"/>
    <cellStyle name="_우주센_송학하수품의(설계넣고)" xfId="234"/>
    <cellStyle name="_우주센_송학하수품의(설계넣고)_4차공사내시변경" xfId="235"/>
    <cellStyle name="_우주센_송학하수품의(설계넣고)_경유세(건설기계)" xfId="236"/>
    <cellStyle name="_우주센_우주센터투찰" xfId="237"/>
    <cellStyle name="_우주센_우주센터투찰_4차공사내시변경" xfId="238"/>
    <cellStyle name="_우주센_우주센터투찰_경유세(건설기계)" xfId="239"/>
    <cellStyle name="_우주센_우주센터투찰_광주평동실행" xfId="240"/>
    <cellStyle name="_우주센_우주센터투찰_광주평동실행_4차공사내시변경" xfId="241"/>
    <cellStyle name="_우주센_우주센터투찰_광주평동실행_경유세(건설기계)" xfId="242"/>
    <cellStyle name="_우주센_우주센터투찰_광주평동품의1" xfId="243"/>
    <cellStyle name="_우주센_우주센터투찰_광주평동품의1_4차공사내시변경" xfId="244"/>
    <cellStyle name="_우주센_우주센터투찰_광주평동품의1_경유세(건설기계)" xfId="245"/>
    <cellStyle name="_우주센_우주센터투찰_기장하수실행1" xfId="246"/>
    <cellStyle name="_우주센_우주센터투찰_기장하수실행1_4차공사내시변경" xfId="247"/>
    <cellStyle name="_우주센_우주센터투찰_기장하수실행1_경유세(건설기계)" xfId="248"/>
    <cellStyle name="_우주센_우주센터투찰_송학실행안" xfId="249"/>
    <cellStyle name="_우주센_우주센터투찰_송학실행안_4차공사내시변경" xfId="250"/>
    <cellStyle name="_우주센_우주센터투찰_송학실행안_경유세(건설기계)" xfId="251"/>
    <cellStyle name="_우주센_우주센터투찰_송학하수투찰" xfId="252"/>
    <cellStyle name="_우주센_우주센터투찰_송학하수투찰_4차공사내시변경" xfId="253"/>
    <cellStyle name="_우주센_우주센터투찰_송학하수투찰_경유세(건설기계)" xfId="254"/>
    <cellStyle name="_우주센_우주센터투찰_송학하수품의(설계넣고)" xfId="255"/>
    <cellStyle name="_우주센_우주센터투찰_송학하수품의(설계넣고)_4차공사내시변경" xfId="256"/>
    <cellStyle name="_우주센_우주센터투찰_송학하수품의(설계넣고)_경유세(건설기계)" xfId="257"/>
    <cellStyle name="_유첨3(서식)" xfId="258"/>
    <cellStyle name="_유첨3(서식)_1" xfId="259"/>
    <cellStyle name="_인원계획표 " xfId="260"/>
    <cellStyle name="_인원계획표 _2004(노귀재)내역서(설계변경용)" xfId="261"/>
    <cellStyle name="_인원계획표 _2004(노귀재)내역서(설계변경용)_4차공사내시변경" xfId="262"/>
    <cellStyle name="_인원계획표 _2004(노귀재)내역서(설계변경용)_경유세(건설기계)" xfId="263"/>
    <cellStyle name="_인원계획표 _2004(노귀재)설계변경내역서" xfId="264"/>
    <cellStyle name="_인원계획표 _2004(노귀재)설계변경내역서_4차공사내시변경" xfId="265"/>
    <cellStyle name="_인원계획표 _2004(노귀재)설계변경내역서_경유세(건설기계)" xfId="266"/>
    <cellStyle name="_인원계획표 _2004노귀재)내역서-참고용" xfId="267"/>
    <cellStyle name="_인원계획표 _2004노귀재)내역서-참고용_4차공사내시변경" xfId="268"/>
    <cellStyle name="_인원계획표 _2004노귀재)내역서-참고용_경유세(건설기계)" xfId="269"/>
    <cellStyle name="_인원계획표 _2004노귀재)설계변경내역서" xfId="270"/>
    <cellStyle name="_인원계획표 _2004노귀재)설계변경내역서_4차공사내시변경" xfId="271"/>
    <cellStyle name="_인원계획표 _2004노귀재)설계변경내역서_경유세(건설기계)" xfId="272"/>
    <cellStyle name="_인원계획표 _4차공사내시변경" xfId="273"/>
    <cellStyle name="_인원계획표 _거제U-2(3차)" xfId="274"/>
    <cellStyle name="_인원계획표 _거제U-2(3차)_거제U-2(3차)" xfId="275"/>
    <cellStyle name="_인원계획표 _거제U-2(3차)_거제U-2(3차)_서후-평은(투찰)" xfId="276"/>
    <cellStyle name="_인원계획표 _거제U-2(3차)_거제U-2(3차)_서후-평은(투찰)_실행(1)" xfId="277"/>
    <cellStyle name="_인원계획표 _거제U-2(3차)_거제U-2(3차)_서후-평은(투찰)_정읍∼완주간 1공구(투찰)" xfId="278"/>
    <cellStyle name="_인원계획표 _거제U-2(3차)_거제U-2(3차)_서후-평은(투찰)_정읍∼완주간 1공구(투찰)_실행(1)" xfId="279"/>
    <cellStyle name="_인원계획표 _거제U-2(3차)_거제U-2(3차)_실행(1)" xfId="280"/>
    <cellStyle name="_인원계획표 _거제U-2(3차)_거제U-2(3차)_정읍∼완주간 1공구(투찰)" xfId="281"/>
    <cellStyle name="_인원계획표 _거제U-2(3차)_거제U-2(3차)_정읍∼완주간 1공구(투찰)_실행(1)" xfId="282"/>
    <cellStyle name="_인원계획표 _거제U-2(3차)_서후-평은(투찰)" xfId="283"/>
    <cellStyle name="_인원계획표 _거제U-2(3차)_서후-평은(투찰)_실행(1)" xfId="284"/>
    <cellStyle name="_인원계획표 _거제U-2(3차)_서후-평은(투찰)_정읍∼완주간 1공구(투찰)" xfId="285"/>
    <cellStyle name="_인원계획표 _거제U-2(3차)_서후-평은(투찰)_정읍∼완주간 1공구(투찰)_실행(1)" xfId="286"/>
    <cellStyle name="_인원계획표 _거제U-2(3차)_실행(1)" xfId="287"/>
    <cellStyle name="_인원계획표 _거제U-2(3차)_정읍∼완주간 1공구(투찰)" xfId="288"/>
    <cellStyle name="_인원계획표 _거제U-2(3차)_정읍∼완주간 1공구(투찰)_실행(1)" xfId="289"/>
    <cellStyle name="_인원계획표 _경유세(건설기계)" xfId="290"/>
    <cellStyle name="_인원계획표 _광주평동실행" xfId="291"/>
    <cellStyle name="_인원계획표 _광주평동실행_4차공사내시변경" xfId="292"/>
    <cellStyle name="_인원계획표 _광주평동실행_경유세(건설기계)" xfId="293"/>
    <cellStyle name="_인원계획표 _광주평동품의1" xfId="294"/>
    <cellStyle name="_인원계획표 _광주평동품의1_4차공사내시변경" xfId="295"/>
    <cellStyle name="_인원계획표 _광주평동품의1_경유세(건설기계)" xfId="296"/>
    <cellStyle name="_인원계획표 _기장하수실행1" xfId="297"/>
    <cellStyle name="_인원계획표 _기장하수실행1_4차공사내시변경" xfId="298"/>
    <cellStyle name="_인원계획표 _기장하수실행1_경유세(건설기계)" xfId="299"/>
    <cellStyle name="_인원계획표 _서후-평은(투찰)" xfId="300"/>
    <cellStyle name="_인원계획표 _서후-평은(투찰)_실행(1)" xfId="301"/>
    <cellStyle name="_인원계획표 _서후-평은(투찰)_정읍∼완주간 1공구(투찰)" xfId="302"/>
    <cellStyle name="_인원계획표 _서후-평은(투찰)_정읍∼완주간 1공구(투찰)_실행(1)" xfId="303"/>
    <cellStyle name="_인원계획표 _송학실행안" xfId="304"/>
    <cellStyle name="_인원계획표 _송학실행안_4차공사내시변경" xfId="305"/>
    <cellStyle name="_인원계획표 _송학실행안_경유세(건설기계)" xfId="306"/>
    <cellStyle name="_인원계획표 _송학하수투찰" xfId="307"/>
    <cellStyle name="_인원계획표 _송학하수투찰_4차공사내시변경" xfId="308"/>
    <cellStyle name="_인원계획표 _송학하수투찰_경유세(건설기계)" xfId="309"/>
    <cellStyle name="_인원계획표 _송학하수품의(설계넣고)" xfId="310"/>
    <cellStyle name="_인원계획표 _송학하수품의(설계넣고)_4차공사내시변경" xfId="311"/>
    <cellStyle name="_인원계획표 _송학하수품의(설계넣고)_경유세(건설기계)" xfId="312"/>
    <cellStyle name="_인원계획표 _실행(1)" xfId="313"/>
    <cellStyle name="_인원계획표 _적격 " xfId="314"/>
    <cellStyle name="_인원계획표 _적격 _2004(노귀재)내역서(설계변경용)" xfId="315"/>
    <cellStyle name="_인원계획표 _적격 _2004(노귀재)내역서(설계변경용)_4차공사내시변경" xfId="316"/>
    <cellStyle name="_인원계획표 _적격 _2004(노귀재)내역서(설계변경용)_경유세(건설기계)" xfId="317"/>
    <cellStyle name="_인원계획표 _적격 _2004(노귀재)설계변경내역서" xfId="318"/>
    <cellStyle name="_인원계획표 _적격 _2004(노귀재)설계변경내역서_4차공사내시변경" xfId="319"/>
    <cellStyle name="_인원계획표 _적격 _2004(노귀재)설계변경내역서_경유세(건설기계)" xfId="320"/>
    <cellStyle name="_인원계획표 _적격 _2004노귀재)내역서-참고용" xfId="321"/>
    <cellStyle name="_인원계획표 _적격 _2004노귀재)내역서-참고용_4차공사내시변경" xfId="322"/>
    <cellStyle name="_인원계획표 _적격 _2004노귀재)내역서-참고용_경유세(건설기계)" xfId="323"/>
    <cellStyle name="_인원계획표 _적격 _2004노귀재)설계변경내역서" xfId="324"/>
    <cellStyle name="_인원계획표 _적격 _2004노귀재)설계변경내역서_4차공사내시변경" xfId="325"/>
    <cellStyle name="_인원계획표 _적격 _2004노귀재)설계변경내역서_경유세(건설기계)" xfId="326"/>
    <cellStyle name="_인원계획표 _적격 _4차공사내시변경" xfId="327"/>
    <cellStyle name="_인원계획표 _적격 _경유세(건설기계)" xfId="328"/>
    <cellStyle name="_인원계획표 _적격 _광주평동실행" xfId="329"/>
    <cellStyle name="_인원계획표 _적격 _광주평동실행_4차공사내시변경" xfId="330"/>
    <cellStyle name="_인원계획표 _적격 _광주평동실행_경유세(건설기계)" xfId="331"/>
    <cellStyle name="_인원계획표 _적격 _광주평동품의1" xfId="332"/>
    <cellStyle name="_인원계획표 _적격 _광주평동품의1_4차공사내시변경" xfId="333"/>
    <cellStyle name="_인원계획표 _적격 _광주평동품의1_경유세(건설기계)" xfId="334"/>
    <cellStyle name="_인원계획표 _적격 _기장하수실행1" xfId="335"/>
    <cellStyle name="_인원계획표 _적격 _기장하수실행1_4차공사내시변경" xfId="336"/>
    <cellStyle name="_인원계획표 _적격 _기장하수실행1_경유세(건설기계)" xfId="337"/>
    <cellStyle name="_인원계획표 _적격 _송학실행안" xfId="338"/>
    <cellStyle name="_인원계획표 _적격 _송학실행안_4차공사내시변경" xfId="339"/>
    <cellStyle name="_인원계획표 _적격 _송학실행안_경유세(건설기계)" xfId="340"/>
    <cellStyle name="_인원계획표 _적격 _송학하수투찰" xfId="341"/>
    <cellStyle name="_인원계획표 _적격 _송학하수투찰_4차공사내시변경" xfId="342"/>
    <cellStyle name="_인원계획표 _적격 _송학하수투찰_경유세(건설기계)" xfId="343"/>
    <cellStyle name="_인원계획표 _적격 _송학하수품의(설계넣고)" xfId="344"/>
    <cellStyle name="_인원계획표 _적격 _송학하수품의(설계넣고)_4차공사내시변경" xfId="345"/>
    <cellStyle name="_인원계획표 _적격 _송학하수품의(설계넣고)_경유세(건설기계)" xfId="346"/>
    <cellStyle name="_인원계획표 _정읍∼완주간 1공구(투찰)" xfId="347"/>
    <cellStyle name="_인원계획표 _정읍∼완주간 1공구(투찰)_실행(1)" xfId="348"/>
    <cellStyle name="_인원계획표 _진월 공내역서" xfId="349"/>
    <cellStyle name="_인원계획표 _진월 공내역서_서후-평은(투찰)" xfId="350"/>
    <cellStyle name="_인원계획표 _진월 공내역서_서후-평은(투찰)_실행(1)" xfId="351"/>
    <cellStyle name="_인원계획표 _진월 공내역서_서후-평은(투찰)_정읍∼완주간 1공구(투찰)" xfId="352"/>
    <cellStyle name="_인원계획표 _진월 공내역서_서후-평은(투찰)_정읍∼완주간 1공구(투찰)_실행(1)" xfId="353"/>
    <cellStyle name="_인원계획표 _진월 공내역서_실행(1)" xfId="354"/>
    <cellStyle name="_인원계획표 _진월 공내역서_정읍∼완주간 1공구(투찰)" xfId="355"/>
    <cellStyle name="_인원계획표 _진월 공내역서_정읍∼완주간 1공구(투찰)_실행(1)" xfId="356"/>
    <cellStyle name="_입찰표지 " xfId="357"/>
    <cellStyle name="_입찰표지 _2004(노귀재)내역서(설계변경용)" xfId="358"/>
    <cellStyle name="_입찰표지 _2004(노귀재)내역서(설계변경용)_4차공사내시변경" xfId="359"/>
    <cellStyle name="_입찰표지 _2004(노귀재)내역서(설계변경용)_경유세(건설기계)" xfId="360"/>
    <cellStyle name="_입찰표지 _2004(노귀재)설계변경내역서" xfId="361"/>
    <cellStyle name="_입찰표지 _2004(노귀재)설계변경내역서_4차공사내시변경" xfId="362"/>
    <cellStyle name="_입찰표지 _2004(노귀재)설계변경내역서_경유세(건설기계)" xfId="363"/>
    <cellStyle name="_입찰표지 _2004노귀재)내역서-참고용" xfId="364"/>
    <cellStyle name="_입찰표지 _2004노귀재)내역서-참고용_4차공사내시변경" xfId="365"/>
    <cellStyle name="_입찰표지 _2004노귀재)내역서-참고용_경유세(건설기계)" xfId="366"/>
    <cellStyle name="_입찰표지 _2004노귀재)설계변경내역서" xfId="367"/>
    <cellStyle name="_입찰표지 _2004노귀재)설계변경내역서_4차공사내시변경" xfId="368"/>
    <cellStyle name="_입찰표지 _2004노귀재)설계변경내역서_경유세(건설기계)" xfId="369"/>
    <cellStyle name="_입찰표지 _4차공사내시변경" xfId="370"/>
    <cellStyle name="_입찰표지 _거제U-2(3차)" xfId="371"/>
    <cellStyle name="_입찰표지 _거제U-2(3차)_거제U-2(3차)" xfId="372"/>
    <cellStyle name="_입찰표지 _거제U-2(3차)_거제U-2(3차)_서후-평은(투찰)" xfId="373"/>
    <cellStyle name="_입찰표지 _거제U-2(3차)_거제U-2(3차)_서후-평은(투찰)_실행(1)" xfId="374"/>
    <cellStyle name="_입찰표지 _거제U-2(3차)_거제U-2(3차)_서후-평은(투찰)_정읍∼완주간 1공구(투찰)" xfId="375"/>
    <cellStyle name="_입찰표지 _거제U-2(3차)_거제U-2(3차)_서후-평은(투찰)_정읍∼완주간 1공구(투찰)_실행(1)" xfId="376"/>
    <cellStyle name="_입찰표지 _거제U-2(3차)_거제U-2(3차)_실행(1)" xfId="377"/>
    <cellStyle name="_입찰표지 _거제U-2(3차)_거제U-2(3차)_정읍∼완주간 1공구(투찰)" xfId="378"/>
    <cellStyle name="_입찰표지 _거제U-2(3차)_거제U-2(3차)_정읍∼완주간 1공구(투찰)_실행(1)" xfId="379"/>
    <cellStyle name="_입찰표지 _거제U-2(3차)_서후-평은(투찰)" xfId="380"/>
    <cellStyle name="_입찰표지 _거제U-2(3차)_서후-평은(투찰)_실행(1)" xfId="381"/>
    <cellStyle name="_입찰표지 _거제U-2(3차)_서후-평은(투찰)_정읍∼완주간 1공구(투찰)" xfId="382"/>
    <cellStyle name="_입찰표지 _거제U-2(3차)_서후-평은(투찰)_정읍∼완주간 1공구(투찰)_실행(1)" xfId="383"/>
    <cellStyle name="_입찰표지 _거제U-2(3차)_실행(1)" xfId="384"/>
    <cellStyle name="_입찰표지 _거제U-2(3차)_정읍∼완주간 1공구(투찰)" xfId="385"/>
    <cellStyle name="_입찰표지 _거제U-2(3차)_정읍∼완주간 1공구(투찰)_실행(1)" xfId="386"/>
    <cellStyle name="_입찰표지 _경유세(건설기계)" xfId="387"/>
    <cellStyle name="_입찰표지 _광주평동실행" xfId="388"/>
    <cellStyle name="_입찰표지 _광주평동실행_4차공사내시변경" xfId="389"/>
    <cellStyle name="_입찰표지 _광주평동실행_경유세(건설기계)" xfId="390"/>
    <cellStyle name="_입찰표지 _광주평동품의1" xfId="391"/>
    <cellStyle name="_입찰표지 _광주평동품의1_4차공사내시변경" xfId="392"/>
    <cellStyle name="_입찰표지 _광주평동품의1_경유세(건설기계)" xfId="393"/>
    <cellStyle name="_입찰표지 _기장하수실행1" xfId="394"/>
    <cellStyle name="_입찰표지 _기장하수실행1_4차공사내시변경" xfId="395"/>
    <cellStyle name="_입찰표지 _기장하수실행1_경유세(건설기계)" xfId="396"/>
    <cellStyle name="_입찰표지 _서후-평은(투찰)" xfId="397"/>
    <cellStyle name="_입찰표지 _서후-평은(투찰)_실행(1)" xfId="398"/>
    <cellStyle name="_입찰표지 _서후-평은(투찰)_정읍∼완주간 1공구(투찰)" xfId="399"/>
    <cellStyle name="_입찰표지 _서후-평은(투찰)_정읍∼완주간 1공구(투찰)_실행(1)" xfId="400"/>
    <cellStyle name="_입찰표지 _송학실행안" xfId="401"/>
    <cellStyle name="_입찰표지 _송학실행안_4차공사내시변경" xfId="402"/>
    <cellStyle name="_입찰표지 _송학실행안_경유세(건설기계)" xfId="403"/>
    <cellStyle name="_입찰표지 _송학하수투찰" xfId="404"/>
    <cellStyle name="_입찰표지 _송학하수투찰_4차공사내시변경" xfId="405"/>
    <cellStyle name="_입찰표지 _송학하수투찰_경유세(건설기계)" xfId="406"/>
    <cellStyle name="_입찰표지 _송학하수품의(설계넣고)" xfId="407"/>
    <cellStyle name="_입찰표지 _송학하수품의(설계넣고)_4차공사내시변경" xfId="408"/>
    <cellStyle name="_입찰표지 _송학하수품의(설계넣고)_경유세(건설기계)" xfId="409"/>
    <cellStyle name="_입찰표지 _실행(1)" xfId="410"/>
    <cellStyle name="_입찰표지 _정읍∼완주간 1공구(투찰)" xfId="411"/>
    <cellStyle name="_입찰표지 _정읍∼완주간 1공구(투찰)_실행(1)" xfId="412"/>
    <cellStyle name="_입찰표지 _진월 공내역서" xfId="413"/>
    <cellStyle name="_입찰표지 _진월 공내역서_서후-평은(투찰)" xfId="414"/>
    <cellStyle name="_입찰표지 _진월 공내역서_서후-평은(투찰)_실행(1)" xfId="415"/>
    <cellStyle name="_입찰표지 _진월 공내역서_서후-평은(투찰)_정읍∼완주간 1공구(투찰)" xfId="416"/>
    <cellStyle name="_입찰표지 _진월 공내역서_서후-평은(투찰)_정읍∼완주간 1공구(투찰)_실행(1)" xfId="417"/>
    <cellStyle name="_입찰표지 _진월 공내역서_실행(1)" xfId="418"/>
    <cellStyle name="_입찰표지 _진월 공내역서_정읍∼완주간 1공구(투찰)" xfId="419"/>
    <cellStyle name="_입찰표지 _진월 공내역서_정읍∼완주간 1공구(투찰)_실행(1)" xfId="420"/>
    <cellStyle name="_적격 " xfId="421"/>
    <cellStyle name="_적격 _2004(노귀재)내역서(설계변경용)" xfId="422"/>
    <cellStyle name="_적격 _2004(노귀재)내역서(설계변경용)_4차공사내시변경" xfId="423"/>
    <cellStyle name="_적격 _2004(노귀재)내역서(설계변경용)_경유세(건설기계)" xfId="424"/>
    <cellStyle name="_적격 _2004(노귀재)설계변경내역서" xfId="425"/>
    <cellStyle name="_적격 _2004(노귀재)설계변경내역서_4차공사내시변경" xfId="426"/>
    <cellStyle name="_적격 _2004(노귀재)설계변경내역서_경유세(건설기계)" xfId="427"/>
    <cellStyle name="_적격 _2004노귀재)내역서-참고용" xfId="428"/>
    <cellStyle name="_적격 _2004노귀재)내역서-참고용_4차공사내시변경" xfId="429"/>
    <cellStyle name="_적격 _2004노귀재)내역서-참고용_경유세(건설기계)" xfId="430"/>
    <cellStyle name="_적격 _2004노귀재)설계변경내역서" xfId="431"/>
    <cellStyle name="_적격 _2004노귀재)설계변경내역서_4차공사내시변경" xfId="432"/>
    <cellStyle name="_적격 _2004노귀재)설계변경내역서_경유세(건설기계)" xfId="433"/>
    <cellStyle name="_적격 _4차공사내시변경" xfId="434"/>
    <cellStyle name="_적격 _경유세(건설기계)" xfId="435"/>
    <cellStyle name="_적격 _광주평동실행" xfId="436"/>
    <cellStyle name="_적격 _광주평동실행_4차공사내시변경" xfId="437"/>
    <cellStyle name="_적격 _광주평동실행_경유세(건설기계)" xfId="438"/>
    <cellStyle name="_적격 _광주평동품의1" xfId="439"/>
    <cellStyle name="_적격 _광주평동품의1_4차공사내시변경" xfId="440"/>
    <cellStyle name="_적격 _광주평동품의1_경유세(건설기계)" xfId="441"/>
    <cellStyle name="_적격 _기장하수실행1" xfId="442"/>
    <cellStyle name="_적격 _기장하수실행1_4차공사내시변경" xfId="443"/>
    <cellStyle name="_적격 _기장하수실행1_경유세(건설기계)" xfId="444"/>
    <cellStyle name="_적격 _송학실행안" xfId="445"/>
    <cellStyle name="_적격 _송학실행안_4차공사내시변경" xfId="446"/>
    <cellStyle name="_적격 _송학실행안_경유세(건설기계)" xfId="447"/>
    <cellStyle name="_적격 _송학하수투찰" xfId="448"/>
    <cellStyle name="_적격 _송학하수투찰_4차공사내시변경" xfId="449"/>
    <cellStyle name="_적격 _송학하수투찰_경유세(건설기계)" xfId="450"/>
    <cellStyle name="_적격 _송학하수품의(설계넣고)" xfId="451"/>
    <cellStyle name="_적격 _송학하수품의(설계넣고)_4차공사내시변경" xfId="452"/>
    <cellStyle name="_적격 _송학하수품의(설계넣고)_경유세(건설기계)" xfId="453"/>
    <cellStyle name="_적격 _집행갑지 " xfId="454"/>
    <cellStyle name="_적격 _집행갑지 _2004(노귀재)내역서(설계변경용)" xfId="455"/>
    <cellStyle name="_적격 _집행갑지 _2004(노귀재)내역서(설계변경용)_4차공사내시변경" xfId="456"/>
    <cellStyle name="_적격 _집행갑지 _2004(노귀재)내역서(설계변경용)_경유세(건설기계)" xfId="457"/>
    <cellStyle name="_적격 _집행갑지 _2004(노귀재)설계변경내역서" xfId="458"/>
    <cellStyle name="_적격 _집행갑지 _2004(노귀재)설계변경내역서_4차공사내시변경" xfId="459"/>
    <cellStyle name="_적격 _집행갑지 _2004(노귀재)설계변경내역서_경유세(건설기계)" xfId="460"/>
    <cellStyle name="_적격 _집행갑지 _2004노귀재)내역서-참고용" xfId="461"/>
    <cellStyle name="_적격 _집행갑지 _2004노귀재)내역서-참고용_4차공사내시변경" xfId="462"/>
    <cellStyle name="_적격 _집행갑지 _2004노귀재)내역서-참고용_경유세(건설기계)" xfId="463"/>
    <cellStyle name="_적격 _집행갑지 _2004노귀재)설계변경내역서" xfId="464"/>
    <cellStyle name="_적격 _집행갑지 _2004노귀재)설계변경내역서_4차공사내시변경" xfId="465"/>
    <cellStyle name="_적격 _집행갑지 _2004노귀재)설계변경내역서_경유세(건설기계)" xfId="466"/>
    <cellStyle name="_적격 _집행갑지 _4차공사내시변경" xfId="467"/>
    <cellStyle name="_적격 _집행갑지 _경유세(건설기계)" xfId="468"/>
    <cellStyle name="_적격 _집행갑지 _광주평동실행" xfId="469"/>
    <cellStyle name="_적격 _집행갑지 _광주평동실행_4차공사내시변경" xfId="470"/>
    <cellStyle name="_적격 _집행갑지 _광주평동실행_경유세(건설기계)" xfId="471"/>
    <cellStyle name="_적격 _집행갑지 _광주평동품의1" xfId="472"/>
    <cellStyle name="_적격 _집행갑지 _광주평동품의1_4차공사내시변경" xfId="473"/>
    <cellStyle name="_적격 _집행갑지 _광주평동품의1_경유세(건설기계)" xfId="474"/>
    <cellStyle name="_적격 _집행갑지 _기장하수실행1" xfId="475"/>
    <cellStyle name="_적격 _집행갑지 _기장하수실행1_4차공사내시변경" xfId="476"/>
    <cellStyle name="_적격 _집행갑지 _기장하수실행1_경유세(건설기계)" xfId="477"/>
    <cellStyle name="_적격 _집행갑지 _송학실행안" xfId="478"/>
    <cellStyle name="_적격 _집행갑지 _송학실행안_4차공사내시변경" xfId="479"/>
    <cellStyle name="_적격 _집행갑지 _송학실행안_경유세(건설기계)" xfId="480"/>
    <cellStyle name="_적격 _집행갑지 _송학하수투찰" xfId="481"/>
    <cellStyle name="_적격 _집행갑지 _송학하수투찰_4차공사내시변경" xfId="482"/>
    <cellStyle name="_적격 _집행갑지 _송학하수투찰_경유세(건설기계)" xfId="483"/>
    <cellStyle name="_적격 _집행갑지 _송학하수품의(설계넣고)" xfId="484"/>
    <cellStyle name="_적격 _집행갑지 _송학하수품의(설계넣고)_4차공사내시변경" xfId="485"/>
    <cellStyle name="_적격 _집행갑지 _송학하수품의(설계넣고)_경유세(건설기계)" xfId="486"/>
    <cellStyle name="_적격(화산) " xfId="487"/>
    <cellStyle name="_적격(화산) _2004(노귀재)내역서(설계변경용)" xfId="488"/>
    <cellStyle name="_적격(화산) _2004(노귀재)내역서(설계변경용)_4차공사내시변경" xfId="489"/>
    <cellStyle name="_적격(화산) _2004(노귀재)내역서(설계변경용)_경유세(건설기계)" xfId="490"/>
    <cellStyle name="_적격(화산) _2004(노귀재)설계변경내역서" xfId="491"/>
    <cellStyle name="_적격(화산) _2004(노귀재)설계변경내역서_4차공사내시변경" xfId="492"/>
    <cellStyle name="_적격(화산) _2004(노귀재)설계변경내역서_경유세(건설기계)" xfId="493"/>
    <cellStyle name="_적격(화산) _2004노귀재)내역서-참고용" xfId="494"/>
    <cellStyle name="_적격(화산) _2004노귀재)내역서-참고용_4차공사내시변경" xfId="495"/>
    <cellStyle name="_적격(화산) _2004노귀재)내역서-참고용_경유세(건설기계)" xfId="496"/>
    <cellStyle name="_적격(화산) _2004노귀재)설계변경내역서" xfId="497"/>
    <cellStyle name="_적격(화산) _2004노귀재)설계변경내역서_4차공사내시변경" xfId="498"/>
    <cellStyle name="_적격(화산) _2004노귀재)설계변경내역서_경유세(건설기계)" xfId="499"/>
    <cellStyle name="_적격(화산) _4차공사내시변경" xfId="500"/>
    <cellStyle name="_적격(화산) _거제U-2(3차)" xfId="501"/>
    <cellStyle name="_적격(화산) _거제U-2(3차)_거제U-2(3차)" xfId="502"/>
    <cellStyle name="_적격(화산) _거제U-2(3차)_거제U-2(3차)_서후-평은(투찰)" xfId="503"/>
    <cellStyle name="_적격(화산) _거제U-2(3차)_거제U-2(3차)_서후-평은(투찰)_실행(1)" xfId="504"/>
    <cellStyle name="_적격(화산) _거제U-2(3차)_거제U-2(3차)_서후-평은(투찰)_정읍∼완주간 1공구(투찰)" xfId="505"/>
    <cellStyle name="_적격(화산) _거제U-2(3차)_거제U-2(3차)_서후-평은(투찰)_정읍∼완주간 1공구(투찰)_실행(1)" xfId="506"/>
    <cellStyle name="_적격(화산) _거제U-2(3차)_거제U-2(3차)_실행(1)" xfId="507"/>
    <cellStyle name="_적격(화산) _거제U-2(3차)_거제U-2(3차)_정읍∼완주간 1공구(투찰)" xfId="508"/>
    <cellStyle name="_적격(화산) _거제U-2(3차)_거제U-2(3차)_정읍∼완주간 1공구(투찰)_실행(1)" xfId="509"/>
    <cellStyle name="_적격(화산) _거제U-2(3차)_서후-평은(투찰)" xfId="510"/>
    <cellStyle name="_적격(화산) _거제U-2(3차)_서후-평은(투찰)_실행(1)" xfId="511"/>
    <cellStyle name="_적격(화산) _거제U-2(3차)_서후-평은(투찰)_정읍∼완주간 1공구(투찰)" xfId="512"/>
    <cellStyle name="_적격(화산) _거제U-2(3차)_서후-평은(투찰)_정읍∼완주간 1공구(투찰)_실행(1)" xfId="513"/>
    <cellStyle name="_적격(화산) _거제U-2(3차)_실행(1)" xfId="514"/>
    <cellStyle name="_적격(화산) _거제U-2(3차)_정읍∼완주간 1공구(투찰)" xfId="515"/>
    <cellStyle name="_적격(화산) _거제U-2(3차)_정읍∼완주간 1공구(투찰)_실행(1)" xfId="516"/>
    <cellStyle name="_적격(화산) _경유세(건설기계)" xfId="517"/>
    <cellStyle name="_적격(화산) _광주평동실행" xfId="518"/>
    <cellStyle name="_적격(화산) _광주평동실행_4차공사내시변경" xfId="519"/>
    <cellStyle name="_적격(화산) _광주평동실행_경유세(건설기계)" xfId="520"/>
    <cellStyle name="_적격(화산) _광주평동품의1" xfId="521"/>
    <cellStyle name="_적격(화산) _광주평동품의1_4차공사내시변경" xfId="522"/>
    <cellStyle name="_적격(화산) _광주평동품의1_경유세(건설기계)" xfId="523"/>
    <cellStyle name="_적격(화산) _기장하수실행1" xfId="524"/>
    <cellStyle name="_적격(화산) _기장하수실행1_4차공사내시변경" xfId="525"/>
    <cellStyle name="_적격(화산) _기장하수실행1_경유세(건설기계)" xfId="526"/>
    <cellStyle name="_적격(화산) _서후-평은(투찰)" xfId="527"/>
    <cellStyle name="_적격(화산) _서후-평은(투찰)_실행(1)" xfId="528"/>
    <cellStyle name="_적격(화산) _서후-평은(투찰)_정읍∼완주간 1공구(투찰)" xfId="529"/>
    <cellStyle name="_적격(화산) _서후-평은(투찰)_정읍∼완주간 1공구(투찰)_실행(1)" xfId="530"/>
    <cellStyle name="_적격(화산) _송학실행안" xfId="531"/>
    <cellStyle name="_적격(화산) _송학실행안_4차공사내시변경" xfId="532"/>
    <cellStyle name="_적격(화산) _송학실행안_경유세(건설기계)" xfId="533"/>
    <cellStyle name="_적격(화산) _송학하수투찰" xfId="534"/>
    <cellStyle name="_적격(화산) _송학하수투찰_4차공사내시변경" xfId="535"/>
    <cellStyle name="_적격(화산) _송학하수투찰_경유세(건설기계)" xfId="536"/>
    <cellStyle name="_적격(화산) _송학하수품의(설계넣고)" xfId="537"/>
    <cellStyle name="_적격(화산) _송학하수품의(설계넣고)_4차공사내시변경" xfId="538"/>
    <cellStyle name="_적격(화산) _송학하수품의(설계넣고)_경유세(건설기계)" xfId="539"/>
    <cellStyle name="_적격(화산) _실행(1)" xfId="540"/>
    <cellStyle name="_적격(화산) _정읍∼완주간 1공구(투찰)" xfId="541"/>
    <cellStyle name="_적격(화산) _정읍∼완주간 1공구(투찰)_실행(1)" xfId="542"/>
    <cellStyle name="_적격(화산) _진월 공내역서" xfId="543"/>
    <cellStyle name="_적격(화산) _진월 공내역서_서후-평은(투찰)" xfId="544"/>
    <cellStyle name="_적격(화산) _진월 공내역서_서후-평은(투찰)_실행(1)" xfId="545"/>
    <cellStyle name="_적격(화산) _진월 공내역서_서후-평은(투찰)_정읍∼완주간 1공구(투찰)" xfId="546"/>
    <cellStyle name="_적격(화산) _진월 공내역서_서후-평은(투찰)_정읍∼완주간 1공구(투찰)_실행(1)" xfId="547"/>
    <cellStyle name="_적격(화산) _진월 공내역서_실행(1)" xfId="548"/>
    <cellStyle name="_적격(화산) _진월 공내역서_정읍∼완주간 1공구(투찰)" xfId="549"/>
    <cellStyle name="_적격(화산) _진월 공내역서_정읍∼완주간 1공구(투찰)_실행(1)" xfId="550"/>
    <cellStyle name="_전체분자재집계표" xfId="551"/>
    <cellStyle name="_정읍∼완주간 1공구(투찰)" xfId="552"/>
    <cellStyle name="_정읍∼완주간 1공구(투찰)_실행(1)" xfId="553"/>
    <cellStyle name="_제출용병천하수(지역관로1)" xfId="554"/>
    <cellStyle name="_제출용병천하수(지역관로1)_4차공사내시변경" xfId="555"/>
    <cellStyle name="_제출용병천하수(지역관로1)_경유세(건설기계)" xfId="556"/>
    <cellStyle name="_제출용병천하수(지역관로1)_광주평동실행" xfId="557"/>
    <cellStyle name="_제출용병천하수(지역관로1)_광주평동실행_4차공사내시변경" xfId="558"/>
    <cellStyle name="_제출용병천하수(지역관로1)_광주평동실행_경유세(건설기계)" xfId="559"/>
    <cellStyle name="_제출용병천하수(지역관로1)_광주평동품의1" xfId="560"/>
    <cellStyle name="_제출용병천하수(지역관로1)_광주평동품의1_4차공사내시변경" xfId="561"/>
    <cellStyle name="_제출용병천하수(지역관로1)_광주평동품의1_경유세(건설기계)" xfId="562"/>
    <cellStyle name="_제출용병천하수(지역관로1)_기장하수실행1" xfId="563"/>
    <cellStyle name="_제출용병천하수(지역관로1)_기장하수실행1_4차공사내시변경" xfId="564"/>
    <cellStyle name="_제출용병천하수(지역관로1)_기장하수실행1_경유세(건설기계)" xfId="565"/>
    <cellStyle name="_제출용병천하수(지역관로1)_송학실행안" xfId="566"/>
    <cellStyle name="_제출용병천하수(지역관로1)_송학실행안_4차공사내시변경" xfId="567"/>
    <cellStyle name="_제출용병천하수(지역관로1)_송학실행안_경유세(건설기계)" xfId="568"/>
    <cellStyle name="_제출용병천하수(지역관로1)_송학하수투찰" xfId="569"/>
    <cellStyle name="_제출용병천하수(지역관로1)_송학하수투찰_4차공사내시변경" xfId="570"/>
    <cellStyle name="_제출용병천하수(지역관로1)_송학하수투찰_경유세(건설기계)" xfId="571"/>
    <cellStyle name="_제출용병천하수(지역관로1)_송학하수품의(설계넣고)" xfId="572"/>
    <cellStyle name="_제출용병천하수(지역관로1)_송학하수품의(설계넣고)_4차공사내시변경" xfId="573"/>
    <cellStyle name="_제출용병천하수(지역관로1)_송학하수품의(설계넣고)_경유세(건설기계)" xfId="574"/>
    <cellStyle name="_좌학-평리간(4,750)" xfId="575"/>
    <cellStyle name="_지정과제1분기실적(확정990408)" xfId="576"/>
    <cellStyle name="_지정과제1분기실적(확정990408)_1" xfId="577"/>
    <cellStyle name="_지정과제2차심의list" xfId="578"/>
    <cellStyle name="_지정과제2차심의list_1" xfId="579"/>
    <cellStyle name="_지정과제2차심의list_2" xfId="580"/>
    <cellStyle name="_지정과제2차심의결과" xfId="581"/>
    <cellStyle name="_지정과제2차심의결과(금액조정후최종)" xfId="582"/>
    <cellStyle name="_지정과제2차심의결과(금액조정후최종)_1" xfId="583"/>
    <cellStyle name="_지정과제2차심의결과(금액조정후최종)_1_경영개선실적보고(전주공장)" xfId="584"/>
    <cellStyle name="_지정과제2차심의결과(금액조정후최종)_1_별첨1_2" xfId="585"/>
    <cellStyle name="_지정과제2차심의결과(금액조정후최종)_1_제안과제집계표(공장전체)" xfId="586"/>
    <cellStyle name="_지정과제2차심의결과(금액조정후최종)_경영개선실적보고(전주공장)" xfId="587"/>
    <cellStyle name="_지정과제2차심의결과(금액조정후최종)_별첨1_2" xfId="588"/>
    <cellStyle name="_지정과제2차심의결과(금액조정후최종)_제안과제집계표(공장전체)" xfId="589"/>
    <cellStyle name="_지정과제2차심의결과_1" xfId="590"/>
    <cellStyle name="_진월 공내역서" xfId="591"/>
    <cellStyle name="_진월 공내역서_서후-평은(투찰)" xfId="592"/>
    <cellStyle name="_진월 공내역서_서후-평은(투찰)_실행(1)" xfId="593"/>
    <cellStyle name="_진월 공내역서_서후-평은(투찰)_정읍∼완주간 1공구(투찰)" xfId="594"/>
    <cellStyle name="_진월 공내역서_서후-평은(투찰)_정읍∼완주간 1공구(투찰)_실행(1)" xfId="595"/>
    <cellStyle name="_진월 공내역서_실행(1)" xfId="596"/>
    <cellStyle name="_진월 공내역서_정읍∼완주간 1공구(투찰)" xfId="597"/>
    <cellStyle name="_진월 공내역서_정읍∼완주간 1공구(투찰)_실행(1)" xfId="598"/>
    <cellStyle name="_집계" xfId="599"/>
    <cellStyle name="_집중관리(981231)" xfId="600"/>
    <cellStyle name="_집중관리(981231)_1" xfId="601"/>
    <cellStyle name="_집중관리(지정과제및 양식)" xfId="602"/>
    <cellStyle name="_집중관리(지정과제및 양식)_1" xfId="603"/>
    <cellStyle name="_집행갑지 " xfId="604"/>
    <cellStyle name="_집행갑지 _2004(노귀재)내역서(설계변경용)" xfId="605"/>
    <cellStyle name="_집행갑지 _2004(노귀재)내역서(설계변경용)_4차공사내시변경" xfId="606"/>
    <cellStyle name="_집행갑지 _2004(노귀재)내역서(설계변경용)_경유세(건설기계)" xfId="607"/>
    <cellStyle name="_집행갑지 _2004(노귀재)설계변경내역서" xfId="608"/>
    <cellStyle name="_집행갑지 _2004(노귀재)설계변경내역서_4차공사내시변경" xfId="609"/>
    <cellStyle name="_집행갑지 _2004(노귀재)설계변경내역서_경유세(건설기계)" xfId="610"/>
    <cellStyle name="_집행갑지 _2004노귀재)내역서-참고용" xfId="611"/>
    <cellStyle name="_집행갑지 _2004노귀재)내역서-참고용_4차공사내시변경" xfId="612"/>
    <cellStyle name="_집행갑지 _2004노귀재)내역서-참고용_경유세(건설기계)" xfId="613"/>
    <cellStyle name="_집행갑지 _2004노귀재)설계변경내역서" xfId="614"/>
    <cellStyle name="_집행갑지 _2004노귀재)설계변경내역서_4차공사내시변경" xfId="615"/>
    <cellStyle name="_집행갑지 _2004노귀재)설계변경내역서_경유세(건설기계)" xfId="616"/>
    <cellStyle name="_집행갑지 _4차공사내시변경" xfId="617"/>
    <cellStyle name="_집행갑지 _경유세(건설기계)" xfId="618"/>
    <cellStyle name="_집행갑지 _광주평동실행" xfId="619"/>
    <cellStyle name="_집행갑지 _광주평동실행_4차공사내시변경" xfId="620"/>
    <cellStyle name="_집행갑지 _광주평동실행_경유세(건설기계)" xfId="621"/>
    <cellStyle name="_집행갑지 _광주평동품의1" xfId="622"/>
    <cellStyle name="_집행갑지 _광주평동품의1_4차공사내시변경" xfId="623"/>
    <cellStyle name="_집행갑지 _광주평동품의1_경유세(건설기계)" xfId="624"/>
    <cellStyle name="_집행갑지 _기장하수실행1" xfId="625"/>
    <cellStyle name="_집행갑지 _기장하수실행1_4차공사내시변경" xfId="626"/>
    <cellStyle name="_집행갑지 _기장하수실행1_경유세(건설기계)" xfId="627"/>
    <cellStyle name="_집행갑지 _송학실행안" xfId="628"/>
    <cellStyle name="_집행갑지 _송학실행안_4차공사내시변경" xfId="629"/>
    <cellStyle name="_집행갑지 _송학실행안_경유세(건설기계)" xfId="630"/>
    <cellStyle name="_집행갑지 _송학하수투찰" xfId="631"/>
    <cellStyle name="_집행갑지 _송학하수투찰_4차공사내시변경" xfId="632"/>
    <cellStyle name="_집행갑지 _송학하수투찰_경유세(건설기계)" xfId="633"/>
    <cellStyle name="_집행갑지 _송학하수품의(설계넣고)" xfId="634"/>
    <cellStyle name="_집행갑지 _송학하수품의(설계넣고)_4차공사내시변경" xfId="635"/>
    <cellStyle name="_집행갑지 _송학하수품의(설계넣고)_경유세(건설기계)" xfId="636"/>
    <cellStyle name="_최종수로암거" xfId="637"/>
    <cellStyle name="_최종수로암거_4차공사내시변경" xfId="638"/>
    <cellStyle name="_최종수로암거_최종수로암거" xfId="639"/>
    <cellStyle name="_최종수로암거_최종수로암거_4차공사내시변경" xfId="640"/>
    <cellStyle name="_측  구" xfId="641"/>
    <cellStyle name="_측구공" xfId="642"/>
    <cellStyle name="_토공" xfId="643"/>
    <cellStyle name="_투찰내역서(신동가사)" xfId="644"/>
    <cellStyle name="_투찰내역서(신동가사)_2004(노귀재)내역서(설계변경용)" xfId="645"/>
    <cellStyle name="_투찰내역서(신동가사)_2004(노귀재)내역서(설계변경용)_4차공사내시변경" xfId="646"/>
    <cellStyle name="_투찰내역서(신동가사)_2004(노귀재)내역서(설계변경용)_경유세(건설기계)" xfId="647"/>
    <cellStyle name="_투찰내역서(신동가사)_2004(노귀재)설계변경내역서" xfId="648"/>
    <cellStyle name="_투찰내역서(신동가사)_2004(노귀재)설계변경내역서_4차공사내시변경" xfId="649"/>
    <cellStyle name="_투찰내역서(신동가사)_2004(노귀재)설계변경내역서_경유세(건설기계)" xfId="650"/>
    <cellStyle name="_투찰내역서(신동가사)_2004노귀재)내역서-참고용" xfId="651"/>
    <cellStyle name="_투찰내역서(신동가사)_2004노귀재)내역서-참고용_4차공사내시변경" xfId="652"/>
    <cellStyle name="_투찰내역서(신동가사)_2004노귀재)내역서-참고용_경유세(건설기계)" xfId="653"/>
    <cellStyle name="_투찰내역서(신동가사)_2004노귀재)설계변경내역서" xfId="654"/>
    <cellStyle name="_투찰내역서(신동가사)_2004노귀재)설계변경내역서_4차공사내시변경" xfId="655"/>
    <cellStyle name="_투찰내역서(신동가사)_2004노귀재)설계변경내역서_경유세(건설기계)" xfId="656"/>
    <cellStyle name="_투찰내역서(신동가사)_4차공사내시변경" xfId="657"/>
    <cellStyle name="_투찰내역서(신동가사)_경유세(건설기계)" xfId="658"/>
    <cellStyle name="_하도급" xfId="659"/>
    <cellStyle name="_횡배수관" xfId="660"/>
    <cellStyle name="¤@?e_TEST-1 " xfId="661"/>
    <cellStyle name="\MNPREF32.DLL&amp;" xfId="662"/>
    <cellStyle name="0.0" xfId="663"/>
    <cellStyle name="0.00" xfId="664"/>
    <cellStyle name="1" xfId="665"/>
    <cellStyle name="2" xfId="666"/>
    <cellStyle name="82" xfId="667"/>
    <cellStyle name="Aee­ " xfId="668"/>
    <cellStyle name="ÅëÈ­ [0]_´ë¿Ü°ø¹®" xfId="669"/>
    <cellStyle name="AeE­ [0]_´eAN°yC￥ " xfId="670"/>
    <cellStyle name="ÅëÈ­ [0]_»óºÎ¼ö·®Áý°è " xfId="671"/>
    <cellStyle name="AeE­ [0]_AMT " xfId="672"/>
    <cellStyle name="ÅëÈ­ [0]_º»¼± ±æ¾î±úºÎ ¼ö·® Áý°èÇ¥ " xfId="673"/>
    <cellStyle name="AeE­ [0]_º≫¼± ±æ¾i±uºI ¼o·R Ay°eC￥ " xfId="674"/>
    <cellStyle name="Aee­ _2004(노귀재)내역서(설계변경용)" xfId="675"/>
    <cellStyle name="ÅëÈ­_´ë¿Ü°ø¹®" xfId="676"/>
    <cellStyle name="AeE­_´eAN°yC￥ " xfId="677"/>
    <cellStyle name="ÅëÈ­_»óºÎ¼ö·®Áý°è " xfId="678"/>
    <cellStyle name="AeE­_AMT " xfId="679"/>
    <cellStyle name="ÅëÈ­_º»¼± ±æ¾î±úºÎ ¼ö·® Áý°èÇ¥ " xfId="680"/>
    <cellStyle name="AeE­_º≫¼± ±æ¾i±uºI ¼o·R Ay°eC￥ " xfId="681"/>
    <cellStyle name="ÄÞ¸¶ [0]_´ë¿Ü°ø¹®" xfId="682"/>
    <cellStyle name="AÞ¸¶ [0]_´eAN°yC￥ " xfId="683"/>
    <cellStyle name="ÄÞ¸¶ [0]_»óºÎ¼ö·®Áý°è " xfId="684"/>
    <cellStyle name="AÞ¸¶ [0]_AN°y(1.25) " xfId="685"/>
    <cellStyle name="ÄÞ¸¶ [0]_º»¼± ±æ¾î±úºÎ ¼ö·® Áý°èÇ¥ " xfId="686"/>
    <cellStyle name="AÞ¸¶ [0]_º≫¼± ±æ¾i±uºI ¼o·R Ay°eC￥ " xfId="687"/>
    <cellStyle name="ÄÞ¸¶_´ë¿Ü°ø¹®" xfId="688"/>
    <cellStyle name="AÞ¸¶_´eAN°yC￥ " xfId="689"/>
    <cellStyle name="ÄÞ¸¶_»óºÎ¼ö·®Áý°è " xfId="690"/>
    <cellStyle name="AÞ¸¶_AN°y(1.25) " xfId="691"/>
    <cellStyle name="ÄÞ¸¶_º»¼± ±æ¾î±úºÎ ¼ö·® Áý°èÇ¥ " xfId="692"/>
    <cellStyle name="AÞ¸¶_º≫¼± ±æ¾i±uºI ¼o·R Ay°eC￥ " xfId="693"/>
    <cellStyle name="_x0001_b" xfId="694"/>
    <cellStyle name="C￥AØ_  FAB AIA¤  " xfId="695"/>
    <cellStyle name="Ç¥ÁØ_´ë¿Ü°ø¹®" xfId="696"/>
    <cellStyle name="C￥AØ_´eºnC￥ (2)_ºI´eAa°ø " xfId="697"/>
    <cellStyle name="Ç¥ÁØ_´ëºñÇ¥ (2)_ºÎ´ëÅä°ø " xfId="698"/>
    <cellStyle name="C￥AØ_¸¶≫eCI¼oAIA§ " xfId="699"/>
    <cellStyle name="Ç¥ÁØ_»óºÎ¼ö·®Áý°è " xfId="700"/>
    <cellStyle name="C￥AØ_½CCa¿¹≫e¼­ " xfId="701"/>
    <cellStyle name="Ç¥ÁØ_ÇöÀå°ü¸®ºñ(Áö¹æ) " xfId="702"/>
    <cellStyle name="C￥AØ_CoAa°u¸Rºn(Ao¹æ) " xfId="703"/>
    <cellStyle name="Ç¥ÁØ_FAX¾ç½Ä " xfId="704"/>
    <cellStyle name="C￥AØ_ºI´eAa°ø " xfId="705"/>
    <cellStyle name="Ç¥ÁØ_ºÎ´ëÅä°ø " xfId="706"/>
    <cellStyle name="Calc Currency (0)" xfId="707"/>
    <cellStyle name="category" xfId="708"/>
    <cellStyle name="Comma" xfId="709"/>
    <cellStyle name="Comma [0]" xfId="710"/>
    <cellStyle name="comma zerodec" xfId="711"/>
    <cellStyle name="Comma_ SG&amp;A Bridge " xfId="712"/>
    <cellStyle name="Comma0" xfId="713"/>
    <cellStyle name="Curren?_x0012_퐀_x0017_?" xfId="714"/>
    <cellStyle name="Currency" xfId="715"/>
    <cellStyle name="Currency [0]" xfId="716"/>
    <cellStyle name="Currency_ SG&amp;A Bridge " xfId="717"/>
    <cellStyle name="Currency0" xfId="718"/>
    <cellStyle name="Currency1" xfId="719"/>
    <cellStyle name="Date" xfId="720"/>
    <cellStyle name="Dezimal [0]_laroux" xfId="721"/>
    <cellStyle name="Dezimal_laroux" xfId="722"/>
    <cellStyle name="Dollar (zero dec)" xfId="723"/>
    <cellStyle name="Euro" xfId="724"/>
    <cellStyle name="F2" xfId="725"/>
    <cellStyle name="F3" xfId="726"/>
    <cellStyle name="F4" xfId="727"/>
    <cellStyle name="F5" xfId="728"/>
    <cellStyle name="F6" xfId="729"/>
    <cellStyle name="F7" xfId="730"/>
    <cellStyle name="F8" xfId="731"/>
    <cellStyle name="Fixed" xfId="732"/>
    <cellStyle name="Grey" xfId="733"/>
    <cellStyle name="H1" xfId="734"/>
    <cellStyle name="H2" xfId="735"/>
    <cellStyle name="HEADER" xfId="736"/>
    <cellStyle name="Header1" xfId="737"/>
    <cellStyle name="Header2" xfId="738"/>
    <cellStyle name="Heading 1" xfId="739"/>
    <cellStyle name="Heading 2" xfId="740"/>
    <cellStyle name="Heading1_부대공산근집계표 " xfId="741"/>
    <cellStyle name="Heading2_부대공산근집계표 " xfId="742"/>
    <cellStyle name="Hyperlink" xfId="743"/>
    <cellStyle name="Input [yellow]" xfId="744"/>
    <cellStyle name="L`" xfId="745"/>
    <cellStyle name="Milliers [0]_Arabian Spec" xfId="746"/>
    <cellStyle name="Milliers_Arabian Spec" xfId="747"/>
    <cellStyle name="mma_CASH &amp; DSO" xfId="748"/>
    <cellStyle name="Model" xfId="749"/>
    <cellStyle name="Mon?aire [0]_Arabian Spec" xfId="750"/>
    <cellStyle name="Mon?aire_Arabian Spec" xfId="751"/>
    <cellStyle name="no dec" xfId="752"/>
    <cellStyle name="normal" xfId="753"/>
    <cellStyle name="Normal - Style1" xfId="754"/>
    <cellStyle name="Normal - 유형1" xfId="755"/>
    <cellStyle name="Normal_ SG&amp;A Bridge " xfId="756"/>
    <cellStyle name="Percent" xfId="757"/>
    <cellStyle name="Percent [2]" xfId="758"/>
    <cellStyle name="Percent_2004(노귀재)내역서(설계변경용)" xfId="759"/>
    <cellStyle name="Standard_laroux" xfId="760"/>
    <cellStyle name="subhead" xfId="761"/>
    <cellStyle name="title [1]" xfId="762"/>
    <cellStyle name="title [2]" xfId="763"/>
    <cellStyle name="Total" xfId="764"/>
    <cellStyle name="UM" xfId="765"/>
    <cellStyle name="W?rung [0]_laroux" xfId="766"/>
    <cellStyle name="W?rung_laroux" xfId="767"/>
    <cellStyle name="_x0008_z" xfId="768"/>
    <cellStyle name="|?ドE" xfId="769"/>
    <cellStyle name="견적부" xfId="770"/>
    <cellStyle name="고정소숫점" xfId="771"/>
    <cellStyle name="고정출력1" xfId="772"/>
    <cellStyle name="고정출력2" xfId="773"/>
    <cellStyle name="끼_x0001_?" xfId="774"/>
    <cellStyle name="날짜" xfId="775"/>
    <cellStyle name="내역서" xfId="776"/>
    <cellStyle name="달러" xfId="777"/>
    <cellStyle name="뒤에 오는 하이퍼링크_남부대로가로등 설치 " xfId="778"/>
    <cellStyle name="똿뗦먛귟 [0.00]_PRODUCT DETAIL Q1" xfId="779"/>
    <cellStyle name="똿뗦먛귟_PRODUCT DETAIL Q1" xfId="780"/>
    <cellStyle name="믅됞 [0.00]_PRODUCT DETAIL Q1" xfId="781"/>
    <cellStyle name="믅됞_PRODUCT DETAIL Q1" xfId="782"/>
    <cellStyle name="배분" xfId="783"/>
    <cellStyle name="백분율 [0]" xfId="784"/>
    <cellStyle name="백분율 [2]" xfId="785"/>
    <cellStyle name="백분율［△1］" xfId="786"/>
    <cellStyle name="백분율［△2］" xfId="787"/>
    <cellStyle name="뷭?_BOOKSHIP" xfId="788"/>
    <cellStyle name="빨강" xfId="789"/>
    <cellStyle name="선택영역의 가운데로" xfId="790"/>
    <cellStyle name="소수" xfId="791"/>
    <cellStyle name="소수3" xfId="792"/>
    <cellStyle name="소수4" xfId="793"/>
    <cellStyle name="소수점" xfId="794"/>
    <cellStyle name="숫자(R)" xfId="795"/>
    <cellStyle name="쉼표 [0] 2" xfId="796"/>
    <cellStyle name="쉼표 [0] 2 2" xfId="797"/>
    <cellStyle name="쉼표 [0] 3" xfId="798"/>
    <cellStyle name="스타일 1" xfId="799"/>
    <cellStyle name="스타일 2" xfId="800"/>
    <cellStyle name="스타일 3" xfId="801"/>
    <cellStyle name="스타일 4" xfId="802"/>
    <cellStyle name="스타일 5" xfId="803"/>
    <cellStyle name="스타일 6" xfId="804"/>
    <cellStyle name="안건회계법인" xfId="805"/>
    <cellStyle name="유1" xfId="806"/>
    <cellStyle name="자리수" xfId="807"/>
    <cellStyle name="자리수0" xfId="808"/>
    <cellStyle name="좋음 2" xfId="809"/>
    <cellStyle name="지정되지 않음" xfId="810"/>
    <cellStyle name="콤마 [0]" xfId="811"/>
    <cellStyle name="콤마 [2]" xfId="812"/>
    <cellStyle name="콤마 [금액]" xfId="813"/>
    <cellStyle name="콤마 [소수]" xfId="814"/>
    <cellStyle name="콤마 [수량]" xfId="815"/>
    <cellStyle name="콤마_  종  합  " xfId="816"/>
    <cellStyle name="통화 [0] 2" xfId="817"/>
    <cellStyle name="통화 [0] 3" xfId="818"/>
    <cellStyle name="퍼센트" xfId="819"/>
    <cellStyle name="표준" xfId="0" builtinId="0"/>
    <cellStyle name="표준 10" xfId="820"/>
    <cellStyle name="표준 2" xfId="821"/>
    <cellStyle name="표준 2 2" xfId="822"/>
    <cellStyle name="표준 2 2 2" xfId="823"/>
    <cellStyle name="표준 3" xfId="824"/>
    <cellStyle name="표준 3 2" xfId="825"/>
    <cellStyle name="표준 3 3" xfId="826"/>
    <cellStyle name="표준 3 3 2" xfId="827"/>
    <cellStyle name="표준 3 3 2 2" xfId="828"/>
    <cellStyle name="표준 3 3 2 2 2" xfId="829"/>
    <cellStyle name="표준 3 3 2 2 2 2" xfId="1"/>
    <cellStyle name="표준 3 3 2_송도역 맞이방 편의점 (0515)" xfId="830"/>
    <cellStyle name="표준 3 3_송도역 맞이방 편의점 (0515)" xfId="831"/>
    <cellStyle name="표준 3_송도역 맞이방 편의점 (0515)" xfId="832"/>
    <cellStyle name="표준 4" xfId="833"/>
    <cellStyle name="표준 5" xfId="834"/>
    <cellStyle name="표준 6" xfId="835"/>
    <cellStyle name="표준 7" xfId="836"/>
    <cellStyle name="표준 8" xfId="837"/>
    <cellStyle name="표준_공사표지_공사표지(2003.4)_공사표지(2003.4)" xfId="838"/>
    <cellStyle name="표준1" xfId="839"/>
    <cellStyle name="합산" xfId="840"/>
    <cellStyle name="화폐기호" xfId="841"/>
    <cellStyle name="화폐기호0" xfId="8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238\c\&#44277;&#49324;&#52628;&#51652;&#48372;&#4425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20166\&#44204;%20%20&#51201;\&#47784;&#46304;&#50641;&#49472;&#45936;&#51060;&#53552;\&#44204;%20%20&#51201;\&#44256;&#49549;&#46020;&#47196;\&#51473;&#48512;&#45236;&#47449;\&#51473;&#48512;&#45236;&#47449;&#44256;&#49549;%20&#51228;9&#44277;&#44396;\DATA\PLANT\&#50696;&#49328;\&#50668;&#52380;&#54840;&#50976;\216&#49892;&#506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4617;\AA&#44204;&#51201;\AA&#44204;&#51201;\&#49692;&#52380;&#46020;&#47196;\&#53804;&#52272;\&#44256;&#44032;\&#49692;&#52380;&#44256;&#4403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\DOTB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A.&#51089;&#50629;&#54868;&#51068;&#9654;&#9654;\B-&#49457;&#50864;&#50696;&#44148;&#52629;(&#51452;)\R.&#45224;&#45824;&#51204;&#54868;&#47932;&#51088;&#46041;&#52264;\03.&#45236;&#50669;\&#45224;&#45824;&#51204;&#50896;&#4403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765\KV\TN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yber.mg21.go.kr/WINDOWS/TEMP/&#45236;&#52397;&#52632;&#46028;&#47532;&#46020;/&#44049;&#51648;/&#50504;&#46041;&#44049;&#5164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788;&#49688;\C\JMS\GA-DAE\&#48512;&#45824;&#49688;&#47049;\&#48512;&#45824;~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NGR\&#53685;&#54633;&#44204;&#51201;\&#44204;&#51201;\&#45432;&#44592;&#50885;\nhrok\&#53556;&#53412;\05&#45380;\&#51221;&#44288;2&#44277;&#44396;\&#53804;&#52272;\&#45824;&#50504;\&#44060;&#51340;&#53552;&#45328;&#53685;&#49888;&#45236;&#50669;&#49436;(2004.04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865;\&#51204;&#44592;&#48512;\PROJECT\&#51473;&#50521;&#44256;&#49549;&#46020;&#47196;\&#51089;&#50629;&#47928;&#49436;\2&#44277;&#4439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1116;&#49440;\DO\DO\&#51312;&#45804;&#52397;\&#44148;&#49444;&#48512;\&#47928;&#45236;&#54889;&#49328;.97.12.11\&#53804;&#52272;\&#51200;&#44032;\&#51200;&#44032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WINDOWS\Temporary%20Internet%20Files\Content.IE5\YBOVCVMB\&#44053;&#44288;\&#44053;&#44288;&#45236;&#50669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865;\&#51204;&#44592;&#48512;\PROJECT\&#51473;&#50521;&#44256;&#49549;&#46020;&#47196;\&#51089;&#50629;&#47928;&#49436;\&#50696;&#49328;&#49436;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NGR\&#53685;&#54633;&#44204;&#51201;\&#44204;&#51201;\&#45432;&#44592;&#50885;\nhrok\&#53556;&#53412;\05&#45380;\&#51221;&#44288;2&#44277;&#44396;\&#53804;&#52272;\&#45824;&#50504;\&#44032;&#47196;&#46321;&#49444;&#52824;&#44277;&#4932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\KV\TNY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KV.MUL\TOTAL\&#45817;1&#547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4.공사별"/>
      <sheetName val="노임이"/>
      <sheetName val="7 (2)"/>
      <sheetName val="노임단가"/>
      <sheetName val="내역"/>
      <sheetName val="집계표"/>
      <sheetName val="시멘트"/>
      <sheetName val="전선 및 전선관"/>
      <sheetName val="실적공사"/>
      <sheetName val="재료"/>
      <sheetName val="6공구(당초)"/>
      <sheetName val="식재"/>
      <sheetName val="시설물 "/>
      <sheetName val="금액내역서"/>
      <sheetName val="DATA"/>
      <sheetName val="목통"/>
      <sheetName val="2단지_원가"/>
      <sheetName val="일반부표"/>
      <sheetName val="계획고"/>
      <sheetName val="갑지1"/>
      <sheetName val="입찰안"/>
      <sheetName val="DATA2000"/>
      <sheetName val="연돌일위집계"/>
      <sheetName val="음료실행"/>
      <sheetName val="화전내"/>
      <sheetName val="내역표지"/>
      <sheetName val="실행철강하도"/>
      <sheetName val="설산1.나"/>
      <sheetName val="본사S"/>
      <sheetName val="화설내"/>
      <sheetName val="c_balju"/>
      <sheetName val="유림골조"/>
      <sheetName val="도급FORM"/>
      <sheetName val="A"/>
      <sheetName val="Sheet1"/>
      <sheetName val="Sheet10"/>
      <sheetName val="CTEMCOST"/>
      <sheetName val="직원인원"/>
      <sheetName val="장기차입금"/>
      <sheetName val="지급자재"/>
      <sheetName val="부대공Ⅱ"/>
      <sheetName val="ABUT수량-A1"/>
      <sheetName val="BREAKDOWN(철거설치)"/>
      <sheetName val="조직도"/>
      <sheetName val="총괄집계"/>
      <sheetName val="잡비"/>
      <sheetName val="스포회원매출"/>
      <sheetName val="동선(을)"/>
      <sheetName val="당초"/>
      <sheetName val="01"/>
      <sheetName val="COVER"/>
      <sheetName val="현장관리비"/>
      <sheetName val="정부노임단가"/>
      <sheetName val="설계내역서"/>
      <sheetName val="DHEQSUPT"/>
      <sheetName val="RESOURCE"/>
      <sheetName val="본사공가현황"/>
      <sheetName val="Sheet13"/>
      <sheetName val="발전기"/>
      <sheetName val="#REF"/>
      <sheetName val="Sheet14"/>
      <sheetName val="실행"/>
      <sheetName val="견적서"/>
      <sheetName val="에너지동"/>
      <sheetName val="원가계산서"/>
      <sheetName val="옥외외등집계표"/>
      <sheetName val="내역서"/>
      <sheetName val="업무처리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Sheet1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공문갑지"/>
      <sheetName val="1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Sheet2"/>
      <sheetName val="Sheet3"/>
      <sheetName val="노임"/>
      <sheetName val="근무자명단"/>
      <sheetName val="비상연락망"/>
      <sheetName val="작업계획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문"/>
      <sheetName val="토적표(당초)"/>
      <sheetName val="토적표(변경)"/>
      <sheetName val="길내기수량-당초변경"/>
      <sheetName val="설계예산서"/>
      <sheetName val="집계표(int)"/>
      <sheetName val="설계예산서 (2)"/>
      <sheetName val="집계표 (3)"/>
      <sheetName val="작성기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  <sheetName val="수량BOQ"/>
      <sheetName val="타공종이월수량"/>
      <sheetName val="배수공집계표"/>
      <sheetName val="배수공자재집계표"/>
      <sheetName val="자재집계"/>
      <sheetName val="타공종"/>
      <sheetName val="토공총괄"/>
      <sheetName val="일반수량총괄"/>
      <sheetName val="철근수량총괄"/>
      <sheetName val="_REF"/>
      <sheetName val="PIPE"/>
      <sheetName val="FLANGE"/>
      <sheetName val="VALVE"/>
      <sheetName val="주요진행"/>
      <sheetName val="차액보증"/>
      <sheetName val="정부노임단가"/>
      <sheetName val="내역서"/>
      <sheetName val="공사비집계"/>
      <sheetName val="수자재단위당"/>
      <sheetName val="대림경상68억"/>
      <sheetName val="기초코드"/>
      <sheetName val="노임단가"/>
      <sheetName val="자재단가"/>
      <sheetName val="금융"/>
      <sheetName val="토공집계표"/>
      <sheetName val="준검 내역서"/>
      <sheetName val="3.공통공사대비"/>
      <sheetName val="기초단가"/>
      <sheetName val="2000년1차"/>
      <sheetName val="기성"/>
      <sheetName val="Sheet6"/>
      <sheetName val="예가표"/>
      <sheetName val="방배동내역(리라)"/>
      <sheetName val="공사비산출내역"/>
      <sheetName val="입찰내역서(율촌 )"/>
      <sheetName val="1.설계조건"/>
      <sheetName val="증감대비"/>
      <sheetName val="데이타"/>
      <sheetName val="식재인부"/>
      <sheetName val="시설일위"/>
      <sheetName val="조명일위"/>
      <sheetName val="내역서(총)"/>
      <sheetName val="내역"/>
      <sheetName val="A-4"/>
      <sheetName val="BSD (2)"/>
      <sheetName val="기초일위"/>
      <sheetName val="건축공사"/>
      <sheetName val="해평견적"/>
      <sheetName val="가설건물"/>
      <sheetName val="주관사업"/>
      <sheetName val="하부철근수량"/>
      <sheetName val="백호우계수"/>
      <sheetName val="ESC(K치)"/>
      <sheetName val="SG"/>
      <sheetName val="총괄표"/>
      <sheetName val="공통비총괄표"/>
      <sheetName val="중기사용료"/>
      <sheetName val="공량산출서"/>
      <sheetName val="2002하반기노임기준"/>
      <sheetName val="45,46"/>
      <sheetName val="실행철강하도"/>
      <sheetName val="토공"/>
      <sheetName val="일위대가표"/>
      <sheetName val="금융비용"/>
      <sheetName val="관기성공.내"/>
      <sheetName val="기본단가"/>
      <sheetName val="고르기"/>
      <sheetName val="소업1교"/>
      <sheetName val="Y-WORK"/>
      <sheetName val="부안일위"/>
      <sheetName val="단면 (2)"/>
      <sheetName val="을"/>
      <sheetName val="타공종이기"/>
      <sheetName val="Piping"/>
      <sheetName val="지급자재"/>
      <sheetName val="제출내역 (2)"/>
      <sheetName val="부대내역"/>
      <sheetName val="투찰"/>
      <sheetName val="1,2공구원가계산서"/>
      <sheetName val="2공구산출내역"/>
      <sheetName val="1공구산출내역서"/>
      <sheetName val="기기리스트"/>
      <sheetName val="하수급견적대비"/>
      <sheetName val="부대대비"/>
      <sheetName val="9GNG운반"/>
      <sheetName val="경비"/>
      <sheetName val="설산1.나"/>
      <sheetName val="본사S"/>
      <sheetName val="B"/>
      <sheetName val="장비"/>
      <sheetName val="인원"/>
      <sheetName val="공사비예산서(토목분)"/>
      <sheetName val="말뚝지지력산정"/>
      <sheetName val="5.품셈"/>
      <sheetName val="공사비증감"/>
      <sheetName val="총괄내역서"/>
      <sheetName val="INPUT"/>
      <sheetName val="양식"/>
      <sheetName val="직영외주구분내역"/>
      <sheetName val="구분표"/>
      <sheetName val="제원입력"/>
      <sheetName val="층"/>
      <sheetName val="단가표"/>
      <sheetName val="단가일람"/>
      <sheetName val="조경일람"/>
      <sheetName val="요율"/>
      <sheetName val="실적62"/>
      <sheetName val="일위대가(계측기설치)"/>
      <sheetName val="장비가동"/>
      <sheetName val="와동25-3(변경)"/>
      <sheetName val="수량산출"/>
      <sheetName val="자재"/>
      <sheetName val="제경비"/>
      <sheetName val="현황(3걵구)"/>
      <sheetName val="2.1  노무비 평균단가산출"/>
      <sheetName val="일위대가"/>
      <sheetName val="견적조건"/>
      <sheetName val="충주"/>
      <sheetName val="장문교(대전)"/>
      <sheetName val="기계경비(시간당)"/>
      <sheetName val="단지내역서"/>
      <sheetName val="토목"/>
      <sheetName val="건축"/>
      <sheetName val="점수계산1-2"/>
      <sheetName val="ELECTRIC"/>
      <sheetName val="CTEMCOST"/>
      <sheetName val="SCHEDULE"/>
      <sheetName val="보차도경계석"/>
      <sheetName val="인력터파기"/>
      <sheetName val="실행내역서"/>
      <sheetName val="6PILE  (돌출)"/>
      <sheetName val="일위대가(가설)"/>
      <sheetName val="8.PILE  (돌출)"/>
      <sheetName val="날개벽(좌,우=60도-4개)"/>
      <sheetName val="도"/>
      <sheetName val="실행대비"/>
      <sheetName val="기초자료입력"/>
      <sheetName val="Eq. Mobilization"/>
      <sheetName val="70%"/>
      <sheetName val="견적대비표"/>
      <sheetName val="품셈TABLE"/>
      <sheetName val="가도공"/>
      <sheetName val="구조물견적서"/>
      <sheetName val="수지예산"/>
      <sheetName val="ITEM"/>
      <sheetName val="내역갑지"/>
      <sheetName val="도로단위당"/>
      <sheetName val="청천내"/>
      <sheetName val="최종"/>
      <sheetName val="0.갑지"/>
      <sheetName val="8.현장관리비"/>
      <sheetName val="7.안전관리비"/>
      <sheetName val="코드표"/>
      <sheetName val="임대견적서"/>
      <sheetName val="결과조달"/>
      <sheetName val="일위대가목차"/>
      <sheetName val="골조시행"/>
      <sheetName val="한강운반비"/>
      <sheetName val="s"/>
      <sheetName val="금액내역서"/>
      <sheetName val="자재대"/>
      <sheetName val="BID"/>
      <sheetName val="기둥"/>
      <sheetName val="저판(버림100)"/>
      <sheetName val="MAT"/>
      <sheetName val="매원개착터널총괄"/>
      <sheetName val="내역표지"/>
      <sheetName val="18개월기준"/>
      <sheetName val="집계(직접비)"/>
      <sheetName val="1.취수장"/>
      <sheetName val="현장별"/>
      <sheetName val="아파트 "/>
      <sheetName val="기본자료"/>
      <sheetName val="합의경상"/>
      <sheetName val="제잡비"/>
      <sheetName val="jobhist"/>
      <sheetName val="직원소요"/>
      <sheetName val="횡배위치"/>
      <sheetName val="WORK"/>
      <sheetName val="ilch"/>
      <sheetName val="Dae_Jiju"/>
      <sheetName val="일반공사"/>
      <sheetName val="Sikje_ingun"/>
      <sheetName val="TREE_D"/>
      <sheetName val="적현로"/>
      <sheetName val="중기조종사 단위단가"/>
      <sheetName val="FCM"/>
      <sheetName val="연습"/>
      <sheetName val="Sheet15"/>
      <sheetName val="Sheet1 (2)"/>
      <sheetName val="시공품의서(토공)"/>
      <sheetName val="시공품의서(CIP)"/>
      <sheetName val="노무비"/>
      <sheetName val="시공품의서(육교이설)"/>
      <sheetName val="시공품의서(임시전력)"/>
      <sheetName val="시공품의서(가드레일이설)"/>
      <sheetName val="시공품의서(가시설)"/>
      <sheetName val="시공품의서(차선도색)"/>
      <sheetName val="노무비(직영)"/>
      <sheetName val="노무비(미추홀-직영용역)"/>
      <sheetName val="총괄"/>
      <sheetName val="장비비산출근거"/>
      <sheetName val="장비가동일지"/>
      <sheetName val="장비가동일지(외주)"/>
      <sheetName val="주자재입고현황"/>
      <sheetName val="잡자재입고현황"/>
      <sheetName val="유류집계표"/>
      <sheetName val="발생토"/>
      <sheetName val="냉천부속동"/>
      <sheetName val="유동표"/>
      <sheetName val="전계가"/>
      <sheetName val="Studio"/>
      <sheetName val="청산공사"/>
      <sheetName val="단위중량"/>
      <sheetName val="전기혼잡제경비(45)"/>
      <sheetName val="편입용지조서"/>
      <sheetName val="J直材4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시공사업단(변경12_22)"/>
      <sheetName val="설계예산서_(2)"/>
      <sheetName val="집계표_(3)"/>
      <sheetName val="준검_내역서"/>
      <sheetName val="3_공통공사대비"/>
      <sheetName val="입찰내역서(율촌_)"/>
      <sheetName val="1_설계조건"/>
      <sheetName val="BSD_(2)"/>
      <sheetName val="단면_(2)"/>
      <sheetName val="제출내역_(2)"/>
      <sheetName val="설산1_나"/>
      <sheetName val="5_품셈"/>
      <sheetName val="관기성공_내"/>
      <sheetName val="6PILE__(돌출)"/>
      <sheetName val="용지매수"/>
      <sheetName val="단가산출"/>
      <sheetName val="남양내역"/>
      <sheetName val="5.전사투자계획종함안"/>
      <sheetName val="변경내역"/>
      <sheetName val="C3"/>
      <sheetName val="내역서(가로수)"/>
      <sheetName val="송전재료비"/>
      <sheetName val="품목"/>
      <sheetName val="표지"/>
      <sheetName val="하부총괄집계표"/>
      <sheetName val="하부철근집계표"/>
      <sheetName val="간지 (5)"/>
      <sheetName val="교대집계표"/>
      <sheetName val="교대철근집계"/>
      <sheetName val="A1"/>
      <sheetName val="A1_날개벽"/>
      <sheetName val="A1_접속슬래브"/>
      <sheetName val="A1_완충슬래브"/>
      <sheetName val="A2"/>
      <sheetName val="A2_우측 날개벽"/>
      <sheetName val="A2_좌측 날개벽"/>
      <sheetName val="A2_접속슬래브"/>
      <sheetName val="A2_완충슬래브"/>
      <sheetName val="교대 토공집계표"/>
      <sheetName val="A1 토공"/>
      <sheetName val="A2 토공"/>
      <sheetName val="간지 (3)"/>
      <sheetName val="교각집계표"/>
      <sheetName val="교각철근집계"/>
      <sheetName val="P1"/>
      <sheetName val="P2"/>
      <sheetName val="간지 (4)"/>
      <sheetName val="교각 토공집계표"/>
      <sheetName val="교각 1토공"/>
      <sheetName val="P3"/>
      <sheetName val="P4"/>
      <sheetName val="교각 2토공"/>
      <sheetName val="교각 3토공"/>
      <sheetName val="교각 4토공"/>
      <sheetName val="도면자료제출일정"/>
      <sheetName val="실행예산"/>
      <sheetName val="토공(도하)"/>
      <sheetName val="철콘(도하)"/>
      <sheetName val="파일(도하)"/>
      <sheetName val="지표지질조사"/>
      <sheetName val="대로근거"/>
      <sheetName val="중로근거"/>
      <sheetName val="I.설계조건"/>
      <sheetName val="I一般比"/>
      <sheetName val="약품공급2"/>
      <sheetName val="DATE"/>
      <sheetName val="증감내역서"/>
      <sheetName val="견적"/>
      <sheetName val="단  가  대  비  표"/>
      <sheetName val="일  위  대  가  목  록"/>
      <sheetName val="기둥(원형)"/>
      <sheetName val="수량산출서(7회)"/>
      <sheetName val="인부신상자료"/>
      <sheetName val="건축내역"/>
      <sheetName val="중기일위대가"/>
      <sheetName val="IW-LIST"/>
      <sheetName val="N賃率-職"/>
      <sheetName val="5.ESC적용금액산출서(석공사)"/>
      <sheetName val="PIPE내역(FCN)"/>
      <sheetName val="INPUT DATA"/>
      <sheetName val="9"/>
      <sheetName val="앉음벽 (2)"/>
      <sheetName val="동원인원"/>
      <sheetName val="평가데이터"/>
      <sheetName val="현장업무"/>
      <sheetName val="견적보고"/>
      <sheetName val="1차설계변경내역"/>
      <sheetName val="D01"/>
      <sheetName val="D02"/>
      <sheetName val="DATA"/>
      <sheetName val="배수내역"/>
      <sheetName val="고창방향"/>
      <sheetName val="입찰안"/>
      <sheetName val="면적"/>
      <sheetName val="실행"/>
      <sheetName val="파일의이용"/>
      <sheetName val="새공통(96임금인상기준)"/>
      <sheetName val="수량산출서"/>
      <sheetName val="도급대비표_기계설비공사(전체_사전)"/>
      <sheetName val="물가정보지"/>
      <sheetName val="9.기타자금청구"/>
      <sheetName val="가격조사서"/>
      <sheetName val="실행계"/>
      <sheetName val="P&amp;L01-02GR"/>
      <sheetName val="1.월별예산현황(개인)"/>
      <sheetName val="2.법인카드 사용"/>
      <sheetName val="GS건설 급여"/>
      <sheetName val="재료율"/>
      <sheetName val="표지-내역서"/>
      <sheetName val="Áý°èÇ¥"/>
      <sheetName val="½Ã°ø»ç¾÷´Ü"/>
      <sheetName val="1-1°ø±¸"/>
      <sheetName val="1-2°ø±¸"/>
      <sheetName val="2-1°ø±¸"/>
      <sheetName val="2-2°ø±¸"/>
      <sheetName val="2-3°ø±¸"/>
      <sheetName val="2-4°ø±¸"/>
      <sheetName val="º¯°æÁý°èÇ¥"/>
      <sheetName val="½Ã°ø»ç¾÷´Ü(º¯°æ12.22)"/>
      <sheetName val="±Ù°Å"/>
      <sheetName val="³ëÀÓ"/>
      <sheetName val="수안보-MBR1"/>
      <sheetName val="구간별관경"/>
      <sheetName val="ESC제외금액산출내역서(견본2)"/>
      <sheetName val="2.변경내역서(조적및미장공사)"/>
      <sheetName val="구조물공"/>
      <sheetName val="부대공"/>
      <sheetName val="배수공"/>
      <sheetName val="포장공"/>
      <sheetName val="사당"/>
      <sheetName val="소비자가"/>
      <sheetName val="현장경비"/>
      <sheetName val="재료비"/>
      <sheetName val="BS2"/>
      <sheetName val="201동 산출근거"/>
      <sheetName val="입력DATA"/>
      <sheetName val="바닥판"/>
      <sheetName val="데리네이타현황"/>
      <sheetName val="하도금액분계"/>
      <sheetName val="master(2차)"/>
      <sheetName val="JUCKEYK"/>
      <sheetName val="용산1(해보)"/>
      <sheetName val="발파유용(3)"/>
      <sheetName val="내역(2000년)"/>
      <sheetName val="공사개요"/>
      <sheetName val="JJ"/>
      <sheetName val="갑지(추정)"/>
      <sheetName val="을지"/>
      <sheetName val="부속동"/>
      <sheetName val="공사_산출"/>
      <sheetName val="교각1"/>
      <sheetName val="추가및 공제(방파제)"/>
      <sheetName val="원가계산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진계획"/>
      <sheetName val="추진실적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6실예"/>
      <sheetName val="#REF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성갑지"/>
      <sheetName val="기성청구대비"/>
      <sheetName val="공정별내역서"/>
      <sheetName val="공정집계표"/>
      <sheetName val="_REF"/>
      <sheetName val="토공사"/>
      <sheetName val="단가"/>
      <sheetName val="일위대가표"/>
      <sheetName val="공사비증감"/>
      <sheetName val="갑지"/>
      <sheetName val="단면 (2)"/>
      <sheetName val="양수장(기계)"/>
      <sheetName val="집계표"/>
      <sheetName val="에너지동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보고"/>
      <sheetName val="공정보고 (2)"/>
      <sheetName val="갑지"/>
      <sheetName val="2000내역서"/>
      <sheetName val="VXXXX"/>
      <sheetName val="설변현황 (사업소제출전체포함)"/>
      <sheetName val="설변현황 (사업소제출보류제외최종) (2)"/>
      <sheetName val="계획 (9.29) (제출용)"/>
      <sheetName val="교량별내역서"/>
      <sheetName val="표지"/>
      <sheetName val="사유서"/>
      <sheetName val="집계표"/>
      <sheetName val="명세서"/>
      <sheetName val="간지(수량)"/>
      <sheetName val="Sheet1"/>
      <sheetName val="Sheet2"/>
      <sheetName val="Sheet3"/>
      <sheetName val="간지"/>
      <sheetName val="포장주요자재"/>
      <sheetName val="지급자재(줄눈)"/>
      <sheetName val="철근집계"/>
      <sheetName val="골재집계표"/>
      <sheetName val="포장골재집계"/>
      <sheetName val="콘분리"/>
      <sheetName val="콘크리트집계"/>
      <sheetName val="선택층분리"/>
      <sheetName val="선택층"/>
      <sheetName val="타공정"/>
      <sheetName val="이월"/>
      <sheetName val="전체수량집계"/>
      <sheetName val="구미전체집계"/>
      <sheetName val="IC집계"/>
      <sheetName val="형식1"/>
      <sheetName val="형식2"/>
      <sheetName val="형식3"/>
      <sheetName val="형식6"/>
      <sheetName val="IC연장"/>
      <sheetName val="본선노견수집"/>
      <sheetName val="노견수량"/>
      <sheetName val="IC길어깨"/>
      <sheetName val="중분대집"/>
      <sheetName val="중분대산출"/>
      <sheetName val="중분현황"/>
      <sheetName val="기타집계"/>
      <sheetName val="부체콘크도로집"/>
      <sheetName val="부체콘크수량"/>
      <sheetName val="부체콘크현황"/>
      <sheetName val="교량접속"/>
      <sheetName val="접thr철근"/>
      <sheetName val="배수자집계"/>
      <sheetName val="석산"/>
      <sheetName val="배수골재산출1"/>
      <sheetName val="배수공구리1"/>
      <sheetName val="배수철근1"/>
      <sheetName val="배수공제량"/>
      <sheetName val="배수이월"/>
      <sheetName val="배수A터파기"/>
      <sheetName val="배수측구2.01"/>
      <sheetName val="2.02"/>
      <sheetName val="2.03"/>
      <sheetName val="대운산출"/>
      <sheetName val="관리본관골조 집계"/>
      <sheetName val="관리본관 골조"/>
      <sheetName val="관리본관마감집계"/>
      <sheetName val="관리본관 마감"/>
      <sheetName val="Module1"/>
      <sheetName val="전건축전체"/>
      <sheetName val="유입"/>
      <sheetName val="초침"/>
      <sheetName val="종침"/>
      <sheetName val="송풍"/>
      <sheetName val="관리"/>
      <sheetName val="수위"/>
      <sheetName val="관급"/>
      <sheetName val="설비"/>
      <sheetName val="관급 (3)"/>
      <sheetName val="건축"/>
      <sheetName val="설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예산서"/>
      <sheetName val="송전내역"/>
      <sheetName val="토목내역"/>
      <sheetName val="DANGA"/>
      <sheetName val="자재단가"/>
      <sheetName val="송전품"/>
      <sheetName val="토목품"/>
      <sheetName val="송전품부표"/>
      <sheetName val="운반"/>
      <sheetName val="별표집계"/>
      <sheetName val="말뚝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별표집계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Y-WORK"/>
      <sheetName val="A-4"/>
      <sheetName val="연수동"/>
      <sheetName val="Sheet4"/>
      <sheetName val="오산갈곳"/>
      <sheetName val="99-04-19-서울대관련(수정중)"/>
      <sheetName val="ITEM"/>
      <sheetName val="ilch"/>
      <sheetName val="토공사"/>
      <sheetName val="ABUT수량-A1"/>
      <sheetName val="단가"/>
      <sheetName val="시설물일위"/>
      <sheetName val="TEL"/>
      <sheetName val="을"/>
      <sheetName val="WORK"/>
      <sheetName val="산업개발안내서"/>
      <sheetName val="Sheet5"/>
      <sheetName val="P.M 별"/>
      <sheetName val="1월"/>
      <sheetName val="VXXXXXXX"/>
      <sheetName val="BSD (2)"/>
      <sheetName val="투찰"/>
      <sheetName val="BQ"/>
      <sheetName val="전기공사"/>
      <sheetName val="공통가설공사"/>
      <sheetName val="건축내역"/>
      <sheetName val="도급"/>
      <sheetName val="c_balju"/>
      <sheetName val="토목내역"/>
      <sheetName val="20관리비율"/>
      <sheetName val="장비당단가 (1)"/>
      <sheetName val="공통부대비"/>
      <sheetName val="전기일위대가"/>
      <sheetName val="3련 BOX"/>
      <sheetName val="단면(RW1)"/>
      <sheetName val="경비2내역"/>
      <sheetName val="TYPE-A"/>
      <sheetName val="부대내역"/>
      <sheetName val="영업2"/>
      <sheetName val="Sheet1"/>
      <sheetName val="일위대가표(DEEP)"/>
      <sheetName val="맨홀수량집계"/>
      <sheetName val="CONCRETE"/>
      <sheetName val="일반공사"/>
      <sheetName val="DATA1"/>
      <sheetName val="차액보증"/>
      <sheetName val="EUPDAT2"/>
      <sheetName val="기별(종합)"/>
      <sheetName val="물량산출근거"/>
      <sheetName val="DATA(BAC)"/>
      <sheetName val="세부내역"/>
      <sheetName val="TOTAL"/>
      <sheetName val="집계표"/>
      <sheetName val="내역1"/>
      <sheetName val="내역서(총)"/>
      <sheetName val="Site Expenses"/>
      <sheetName val="교각1"/>
      <sheetName val="가시설수량"/>
      <sheetName val="단위수량"/>
      <sheetName val="TABLE"/>
      <sheetName val="3BL공동구 수량"/>
      <sheetName val="건축원가계산서"/>
      <sheetName val="BSD _2_"/>
      <sheetName val="내역서"/>
      <sheetName val="D-3503"/>
      <sheetName val="원형맨홀수량"/>
      <sheetName val="감가상각"/>
      <sheetName val="보합"/>
      <sheetName val="토&amp;흙"/>
      <sheetName val="INSTR"/>
      <sheetName val="INST_DCI"/>
      <sheetName val="HVAC_DCI"/>
      <sheetName val="PIPE_DCI"/>
      <sheetName val="PRO_DCI"/>
      <sheetName val="실행내역"/>
      <sheetName val="2F 회의실견적(5_14 일대)"/>
      <sheetName val="을지"/>
      <sheetName val="입찰안"/>
      <sheetName val="ELECTRIC"/>
      <sheetName val="CTEMCOST"/>
      <sheetName val="SCHEDULE"/>
      <sheetName val="Base_Data"/>
      <sheetName val="갑지(추정)"/>
      <sheetName val="설산1.나"/>
      <sheetName val="본사S"/>
      <sheetName val="장비집계"/>
      <sheetName val="SLAB"/>
      <sheetName val="대비"/>
      <sheetName val="聒CD-STRAND PILE 압입및굴착"/>
      <sheetName val="설계조건"/>
      <sheetName val="안정계산"/>
      <sheetName val="단면검토"/>
      <sheetName val="일위대가목차"/>
      <sheetName val="Testing"/>
      <sheetName val="일위대가목록(1)"/>
      <sheetName val="단가대비표(1)"/>
      <sheetName val="공사원가계산서"/>
      <sheetName val="계산근거"/>
      <sheetName val="공사비 내역 (가)"/>
      <sheetName val="일위대가목록"/>
      <sheetName val="MOTOR"/>
      <sheetName val="J直材4"/>
      <sheetName val="IMP(MAIN)"/>
      <sheetName val="IMP (REACTOR)"/>
      <sheetName val="INPUT"/>
      <sheetName val="단면가정"/>
      <sheetName val="공사비산출내역"/>
      <sheetName val="가시설단위수량"/>
      <sheetName val="청산공사"/>
      <sheetName val="BQ-Offsite"/>
      <sheetName val="Cover"/>
      <sheetName val="L형옹벽(key)"/>
      <sheetName val=" 견적서"/>
      <sheetName val="투자효율분석"/>
      <sheetName val="설계명세서"/>
      <sheetName val="96수출"/>
      <sheetName val="물량표"/>
      <sheetName val="산거각호표"/>
      <sheetName val="list price"/>
      <sheetName val="일위대가"/>
      <sheetName val="Dae_Jiju"/>
      <sheetName val="Sikje_ingun"/>
      <sheetName val="TREE_D"/>
      <sheetName val="단중표"/>
      <sheetName val="내역서 "/>
      <sheetName val="기계내역"/>
      <sheetName val="별표 "/>
      <sheetName val="수량산출서"/>
      <sheetName val="PUMP"/>
      <sheetName val="gyun"/>
      <sheetName val="Customer Databas"/>
      <sheetName val="단가표 "/>
      <sheetName val="연습"/>
      <sheetName val="원가"/>
      <sheetName val="DATA_BAC_"/>
      <sheetName val="단위중량"/>
      <sheetName val="전신환매도율"/>
      <sheetName val="양식"/>
      <sheetName val="FAB별"/>
      <sheetName val="차량구입"/>
      <sheetName val="수량산출"/>
      <sheetName val="SE-611"/>
      <sheetName val="조경"/>
      <sheetName val="Indirect Cost"/>
      <sheetName val="배수관공"/>
      <sheetName val="wblff(before omi pc&amp;stump)"/>
      <sheetName val="인건비"/>
      <sheetName val=" "/>
      <sheetName val="Macro1"/>
      <sheetName val="금액집계"/>
      <sheetName val="단가대비표"/>
      <sheetName val="노원열병합  건축공사기성내역서"/>
      <sheetName val="식재품셈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장비당단가_(1)"/>
      <sheetName val="BSD_(2)"/>
      <sheetName val="실행예산"/>
      <sheetName val="unit"/>
      <sheetName val="밸브설치"/>
      <sheetName val="dg"/>
      <sheetName val="1"/>
      <sheetName val="Proposal"/>
      <sheetName val="우각부보강"/>
      <sheetName val="방송노임"/>
      <sheetName val="환률"/>
      <sheetName val="HRSG SMALL07220"/>
      <sheetName val="Harga material "/>
      <sheetName val="IPL_SCHEDULE"/>
      <sheetName val="BQLIST"/>
      <sheetName val="TABLE2-1 ISBL-(SlTE PREP)"/>
      <sheetName val="TABLE2.1 ISBL (Soil Invest)"/>
      <sheetName val="TABLE2-2 OSBL(GENERAL-CIVIL)"/>
      <sheetName val="남양시작동자105노65기1.3화1.2"/>
      <sheetName val="Projekt4"/>
      <sheetName val="자재단가비교표"/>
      <sheetName val="방배동내역(리라)"/>
      <sheetName val="내역"/>
      <sheetName val="Y_WORK"/>
      <sheetName val="DATA"/>
      <sheetName val="단가비교표"/>
      <sheetName val="DRAIN DRUM PIT D-301"/>
      <sheetName val="관람석제출"/>
      <sheetName val="영동(D)"/>
      <sheetName val="날개벽(좌,우=45도,75도)"/>
      <sheetName val="중기사용료"/>
      <sheetName val="kimre scrubber"/>
      <sheetName val="말뚝물량"/>
      <sheetName val="분류기준"/>
      <sheetName val="현황산출서"/>
      <sheetName val="sum1 (2)"/>
      <sheetName val="7내역"/>
      <sheetName val="터파기및재료"/>
      <sheetName val="품셈TABLE"/>
      <sheetName val="현장"/>
      <sheetName val="Sheet13"/>
      <sheetName val="발전기"/>
      <sheetName val="#REF"/>
      <sheetName val="Sheet14"/>
      <sheetName val="공사개요"/>
      <sheetName val="N賃率-職"/>
      <sheetName val="실행"/>
      <sheetName val="7.5.2 BOQ Summary "/>
      <sheetName val="통신집계표1"/>
      <sheetName val="산출근거"/>
      <sheetName val="wall"/>
      <sheetName val="06-BATCH "/>
      <sheetName val="가시설(TYPE-A)"/>
      <sheetName val="1-1평균터파기고(1)"/>
      <sheetName val="단가대비"/>
      <sheetName val="부하(성남)"/>
      <sheetName val="b_balju_cho"/>
      <sheetName val="소비자가"/>
      <sheetName val="대치판정"/>
      <sheetName val="P_M_별"/>
      <sheetName val="3련_BOX"/>
      <sheetName val="EACT10"/>
      <sheetName val="금액"/>
      <sheetName val="(C)원내역"/>
      <sheetName val="총괄표"/>
      <sheetName val="공통가설"/>
      <sheetName val="전사계"/>
      <sheetName val="I.설계조건"/>
      <sheetName val="1.설계기준"/>
      <sheetName val="FRT_O"/>
      <sheetName val="FAB_I"/>
      <sheetName val="COPING"/>
      <sheetName val="8월현금흐름표"/>
      <sheetName val="RAHMEN"/>
      <sheetName val="개요"/>
      <sheetName val="플랜트 설치"/>
      <sheetName val="DOGI"/>
      <sheetName val="가공비"/>
      <sheetName val="예산서"/>
      <sheetName val="날개벽"/>
      <sheetName val="CALCULATION"/>
      <sheetName val="DESIGN_CRETERIA"/>
      <sheetName val="설계명세서(선로)"/>
      <sheetName val="full (2)"/>
      <sheetName val="토공계산서(부체도로)"/>
      <sheetName val="I一般比"/>
      <sheetName val="MAT"/>
      <sheetName val="2075-Q011"/>
      <sheetName val="3F"/>
      <sheetName val="토목"/>
      <sheetName val="본장"/>
      <sheetName val="GRDBS"/>
      <sheetName val="말뚝지지력산정"/>
      <sheetName val="직접인건비"/>
      <sheetName val="공문"/>
      <sheetName val="BID9697"/>
      <sheetName val="교통시설 표지판"/>
      <sheetName val="KP1590_E"/>
      <sheetName val="예산"/>
      <sheetName val="단가표"/>
      <sheetName val="공사비PK5월"/>
      <sheetName val="BD集計用"/>
      <sheetName val="General Data"/>
      <sheetName val="인강기성"/>
      <sheetName val="SG"/>
      <sheetName val="자료(통합)"/>
      <sheetName val="대상공사(조달청)"/>
      <sheetName val="BID"/>
      <sheetName val="원가계산서"/>
      <sheetName val="옹벽"/>
      <sheetName val="공사입력"/>
      <sheetName val="SRC-B3U2"/>
      <sheetName val="RING WALL"/>
      <sheetName val="cable"/>
      <sheetName val="설계서"/>
      <sheetName val="환율"/>
      <sheetName val="변화치수"/>
      <sheetName val="전체"/>
      <sheetName val="AH-1 "/>
      <sheetName val="DATE"/>
      <sheetName val="비교표"/>
      <sheetName val="1을"/>
      <sheetName val="06_BATCH "/>
      <sheetName val="Studio"/>
      <sheetName val="단면치수"/>
      <sheetName val="BOM-Form A.1.III"/>
      <sheetName val="자재집계표"/>
      <sheetName val="부재력정리"/>
      <sheetName val="단가조사표"/>
      <sheetName val="1호맨홀가감수량"/>
      <sheetName val="1호맨홀수량산출"/>
      <sheetName val="SORCE1"/>
      <sheetName val="국별인원"/>
      <sheetName val="직노"/>
      <sheetName val="일반맨홀수량집계"/>
      <sheetName val="업무처리전"/>
      <sheetName val="TT35"/>
      <sheetName val="TTTram"/>
      <sheetName val="SL dau tien"/>
      <sheetName val="총내역서"/>
      <sheetName val="입찰견적보고서"/>
      <sheetName val="주경기-오배수"/>
      <sheetName val="교각계산"/>
      <sheetName val="표지판현황"/>
      <sheetName val="수선비분석"/>
      <sheetName val="2F_회의실견적(5_14_일대)"/>
      <sheetName val="설계서을"/>
      <sheetName val="6월실적"/>
      <sheetName val="도급양식"/>
      <sheetName val="손익분석"/>
      <sheetName val="견적집계표"/>
      <sheetName val="지급자재"/>
      <sheetName val="토사(PE)"/>
      <sheetName val="SALES&amp;COGS"/>
      <sheetName val="신규단가내역"/>
      <sheetName val="FACTOR"/>
      <sheetName val="plan&amp;section of foundation"/>
      <sheetName val="갑지_추정_"/>
      <sheetName val="UR2-Calculation"/>
      <sheetName val="가도공"/>
      <sheetName val="효성CB 1P기초"/>
      <sheetName val="CAPVC"/>
      <sheetName val="소방"/>
      <sheetName val="단가디비"/>
      <sheetName val="물량표S"/>
      <sheetName val="계수시트"/>
      <sheetName val="C &amp; G RHS"/>
      <sheetName val="보차도경계석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PumpSpec"/>
      <sheetName val="ISBL"/>
      <sheetName val="OSBL"/>
      <sheetName val="개산공사비"/>
      <sheetName val="첨부파일"/>
      <sheetName val="1F"/>
      <sheetName val="Sheet1 (2)"/>
      <sheetName val="FRP내역서"/>
      <sheetName val="Bdown_ISBL"/>
      <sheetName val="ISBL (검증)"/>
      <sheetName val="TABLE2-2 OSBL-(SITE PREP)"/>
      <sheetName val="CONTENTS"/>
      <sheetName val="BM"/>
      <sheetName val="사업계획"/>
      <sheetName val="DS"/>
      <sheetName val="단가사정"/>
      <sheetName val="CAL"/>
      <sheetName val="정렬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TABLE2-1 ISBL(GENEAL-CIVIL)"/>
      <sheetName val="준검 내역서"/>
      <sheetName val="UOP 508 PG 5-12"/>
      <sheetName val="XL4Poppy"/>
      <sheetName val="경비"/>
      <sheetName val="화산경계"/>
      <sheetName val="간선계산"/>
      <sheetName val="산출내역서집계표"/>
      <sheetName val="전압강하계산"/>
      <sheetName val="Mp-team 1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  <sheetName val="Inputs"/>
      <sheetName val="Timing&amp;Esc"/>
      <sheetName val="I-O(번호별)"/>
      <sheetName val="NSMA-status"/>
      <sheetName val="일위대가표"/>
      <sheetName val="인부신상자료"/>
      <sheetName val="기초공"/>
      <sheetName val="기둥(원형)"/>
      <sheetName val="설변물량"/>
      <sheetName val="APT내역"/>
      <sheetName val="노임단가"/>
      <sheetName val=""/>
      <sheetName val="전체실적"/>
      <sheetName val="Requirement(Work Crew)"/>
      <sheetName val="1.설계조건"/>
      <sheetName val="예방접종계획"/>
      <sheetName val="근태계획서"/>
      <sheetName val="부대대비"/>
      <sheetName val="냉연집계"/>
      <sheetName val="신우"/>
      <sheetName val="CODE"/>
      <sheetName val="2000년1차"/>
      <sheetName val="시멘트"/>
      <sheetName val="01"/>
      <sheetName val="오억미만"/>
      <sheetName val="공사비예산서(토목분)"/>
      <sheetName val="덕전리"/>
      <sheetName val="비대칭계수"/>
      <sheetName val="전동기 SPEC"/>
      <sheetName val="가설공사비"/>
      <sheetName val="도로구조공사비"/>
      <sheetName val="도로토공공사비"/>
      <sheetName val="여수토공사비"/>
      <sheetName val="부대"/>
      <sheetName val="woo(mac)"/>
      <sheetName val="유림콘도"/>
      <sheetName val="일위_파일"/>
      <sheetName val="효율계획(당월)"/>
      <sheetName val="인건-측정"/>
      <sheetName val="여과지동"/>
      <sheetName val="기초자료"/>
      <sheetName val="수량집계"/>
      <sheetName val="danga"/>
      <sheetName val="재집"/>
      <sheetName val="직재"/>
      <sheetName val="데이타"/>
      <sheetName val="TTL"/>
      <sheetName val="물가자료"/>
      <sheetName val="일반수량집계"/>
      <sheetName val="NAI"/>
      <sheetName val="단가산출서"/>
      <sheetName val="단가산출서 (2)"/>
      <sheetName val="월선수금"/>
      <sheetName val="산출금액내역"/>
      <sheetName val="을 2"/>
      <sheetName val="설계산출기초"/>
      <sheetName val="을부담운반비"/>
      <sheetName val="운반비산출"/>
      <sheetName val="설계산출표지"/>
      <sheetName val="도급예산내역서총괄표"/>
      <sheetName val="조명시설"/>
      <sheetName val="적용기준"/>
      <sheetName val="hvac(제어동)"/>
      <sheetName val="일위대가-1"/>
      <sheetName val="목록"/>
      <sheetName val="중기"/>
      <sheetName val="Change rate"/>
      <sheetName val="재무가정"/>
      <sheetName val="1-1"/>
      <sheetName val="Constant"/>
      <sheetName val="검색"/>
      <sheetName val="통합"/>
      <sheetName val="자재"/>
      <sheetName val="적용환율"/>
      <sheetName val="FANDBS"/>
      <sheetName val="GRDATA"/>
      <sheetName val="SHAFTDBSE"/>
      <sheetName val="연결임시"/>
      <sheetName val="건축내역서"/>
      <sheetName val="90.03실행 "/>
      <sheetName val="archi(본사)"/>
      <sheetName val="1.우편집중내역서"/>
      <sheetName val="보도경계블럭"/>
      <sheetName val="BLOCK(1)"/>
      <sheetName val="FCU (2)"/>
      <sheetName val="조도계산서 (도서)"/>
      <sheetName val="발신정보"/>
      <sheetName val="2.내역서"/>
      <sheetName val="TEST1"/>
      <sheetName val="2002상반기노임기준"/>
      <sheetName val="시중노임DATA"/>
      <sheetName val="식재인부"/>
      <sheetName val="업무"/>
      <sheetName val="MATRLDATA"/>
      <sheetName val="CP-E2 (품셈표)"/>
      <sheetName val="프랜트면허"/>
      <sheetName val="ACCESS FLOOR"/>
      <sheetName val="토목주소"/>
      <sheetName val="견적을지"/>
      <sheetName val="EJ"/>
      <sheetName val="갑지1"/>
      <sheetName val="음료실행"/>
      <sheetName val="4 LINE"/>
      <sheetName val="7 th"/>
      <sheetName val="케이블및전선관규격표"/>
      <sheetName val="공사비내역서"/>
      <sheetName val="표지"/>
      <sheetName val="배명(단가)"/>
      <sheetName val="실행품의서"/>
      <sheetName val="11.자재단가"/>
      <sheetName val="코드"/>
      <sheetName val="시설물기초"/>
      <sheetName val="원가계산"/>
      <sheetName val="March"/>
      <sheetName val="자판실행"/>
      <sheetName val="Front"/>
      <sheetName val="현장관리비"/>
      <sheetName val="Recording,Phone,Headset,PC"/>
      <sheetName val="강관 및 부속"/>
      <sheetName val="재료집계"/>
      <sheetName val="퇴비산출근거"/>
      <sheetName val="송라터널총괄"/>
      <sheetName val="6호기"/>
      <sheetName val="교통표지"/>
      <sheetName val="계약서"/>
      <sheetName val="분석"/>
      <sheetName val="내부부하"/>
      <sheetName val="b_gunmul"/>
      <sheetName val="기자재비"/>
      <sheetName val="견적내용입력"/>
      <sheetName val="견적서세부내용"/>
      <sheetName val="건축(충일분)"/>
      <sheetName val="과천MAIN"/>
      <sheetName val="Grid &amp; A.M"/>
      <sheetName val="CAB_OD"/>
      <sheetName val="견적의뢰"/>
      <sheetName val="난방열교"/>
      <sheetName val="급탕열교"/>
      <sheetName val="인건비 "/>
      <sheetName val="일반맨홀수량집계(A-7 LINE)"/>
    </sheetNames>
    <sheetDataSet>
      <sheetData sheetId="0">
        <row r="5">
          <cell r="D5" t="str">
            <v>(발표일:99.1.1)</v>
          </cell>
        </row>
      </sheetData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한일양산"/>
      <sheetName val="ITEM"/>
      <sheetName val="Cover"/>
      <sheetName val="Sheet5"/>
      <sheetName val="하수급견적대비"/>
      <sheetName val="A-4"/>
      <sheetName val="단위중량"/>
      <sheetName val="Dae_Jiju"/>
      <sheetName val="Sikje_ingun"/>
      <sheetName val="TREE_D"/>
      <sheetName val="장비당단가 (1)"/>
      <sheetName val="견적서"/>
      <sheetName val="시행예산"/>
      <sheetName val="일반부표"/>
      <sheetName val="공비대비"/>
      <sheetName val="을"/>
      <sheetName val="WORK"/>
      <sheetName val="Sheet4"/>
      <sheetName val="c_balju"/>
      <sheetName val="건축내역"/>
      <sheetName val="Y-WORK"/>
      <sheetName val="BQ"/>
      <sheetName val="BID"/>
      <sheetName val="수목표준대가"/>
      <sheetName val="환률"/>
      <sheetName val=" 견적서"/>
      <sheetName val="L형옹벽(key)"/>
      <sheetName val="입찰안"/>
      <sheetName val="BSD (2)"/>
      <sheetName val="1.맹암거관련"/>
      <sheetName val="3BL공동구 수량"/>
      <sheetName val="차액보증"/>
      <sheetName val="실행철강하도"/>
      <sheetName val="GAEYO"/>
      <sheetName val="내역"/>
      <sheetName val="동원인원"/>
      <sheetName val="ilch"/>
      <sheetName val="설계"/>
      <sheetName val="Site Expenses"/>
      <sheetName val="Sheet1"/>
      <sheetName val="데이타"/>
      <sheetName val="식재인부"/>
      <sheetName val="토목내역"/>
      <sheetName val="가시설수량"/>
      <sheetName val="단위수량"/>
      <sheetName val="적용률"/>
      <sheetName val="DATA"/>
      <sheetName val="투찰"/>
      <sheetName val="Proposal"/>
      <sheetName val="영동(D)"/>
      <sheetName val="부대내역"/>
      <sheetName val="일위대가목록"/>
      <sheetName val="일위"/>
      <sheetName val="공통부대비"/>
      <sheetName val="산업개발안내서"/>
      <sheetName val="일위대가"/>
      <sheetName val="MOTOR"/>
      <sheetName val="도급"/>
      <sheetName val="공문"/>
      <sheetName val="FAB별"/>
      <sheetName val="원가계산"/>
      <sheetName val="01"/>
      <sheetName val="IPL_SCHEDULE"/>
      <sheetName val="공사비 내역 (가)"/>
      <sheetName val="gyun"/>
      <sheetName val="기계내역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변압기 및 발전기 용량"/>
      <sheetName val="보합"/>
      <sheetName val="ABUT수량-A1"/>
      <sheetName val="산출근거"/>
      <sheetName val="20관리비율"/>
      <sheetName val="갑지"/>
      <sheetName val="집계표"/>
      <sheetName val="CONCRETE"/>
      <sheetName val="Testing"/>
      <sheetName val="품셈TABLE"/>
      <sheetName val="자재단가비교표"/>
      <sheetName val="TABLE"/>
      <sheetName val="말뚝지지력산정"/>
      <sheetName val="8월현금흐름표"/>
      <sheetName val="토공사"/>
      <sheetName val="GTG TR PIT"/>
      <sheetName val="결선list"/>
      <sheetName val="빙장비사양"/>
      <sheetName val="9811"/>
      <sheetName val="물량산출근거"/>
      <sheetName val="실행(ALT1)"/>
      <sheetName val="kimre scrubber"/>
      <sheetName val="GRDBS"/>
      <sheetName val="단가표"/>
      <sheetName val="Customer Databas"/>
      <sheetName val="FANDBS"/>
      <sheetName val="GRDATA"/>
      <sheetName val="SHAFTDBSE"/>
      <sheetName val="소비자가"/>
      <sheetName val="MATRLDATA"/>
      <sheetName val="감가상각"/>
      <sheetName val="단가결정"/>
      <sheetName val="OCT.FDN"/>
      <sheetName val="공사개요"/>
      <sheetName val="명세서"/>
      <sheetName val="맨홀수량집계"/>
      <sheetName val="원가"/>
      <sheetName val="밸브설치"/>
      <sheetName val="오산갈곳"/>
      <sheetName val="2F 회의실견적(5_14 일대)"/>
      <sheetName val="INST_DCI"/>
      <sheetName val="I.설계조건"/>
      <sheetName val="공통가설"/>
      <sheetName val="내역서(총)"/>
      <sheetName val="KP1590_E"/>
      <sheetName val="96수출"/>
      <sheetName val="Sheet15"/>
      <sheetName val="1.설계기준"/>
      <sheetName val="현장"/>
      <sheetName val="수량산출"/>
      <sheetName val="말뚝물량"/>
      <sheetName val="DATE"/>
      <sheetName val="일반맨홀수량집계"/>
      <sheetName val="당초"/>
      <sheetName val="노임단가"/>
      <sheetName val="PRO_DCI"/>
      <sheetName val="HVAC_DCI"/>
      <sheetName val="PIPE_DCI"/>
      <sheetName val="단가"/>
      <sheetName val="시설물일위"/>
      <sheetName val="XL4Poppy"/>
      <sheetName val="PhaDoMong"/>
      <sheetName val="과천MAIN"/>
      <sheetName val="직노"/>
      <sheetName val="DATA(BAC)"/>
      <sheetName val="소업1교"/>
      <sheetName val="BLOCK(1)"/>
      <sheetName val="단가대비표"/>
      <sheetName val="단면치수"/>
      <sheetName val="7내역"/>
      <sheetName val="내역서(기계)"/>
      <sheetName val="Studio"/>
      <sheetName val="수목데이타 "/>
      <sheetName val="ATS단가"/>
      <sheetName val="DATA1"/>
      <sheetName val="형틀공사"/>
      <sheetName val="터파기및재료"/>
      <sheetName val="몰탈재료산출"/>
      <sheetName val="2공구산출내역"/>
      <sheetName val="J直材4"/>
      <sheetName val="국별인원"/>
      <sheetName val="부하LOAD"/>
      <sheetName val="연수동"/>
      <sheetName val="물량표"/>
      <sheetName val="b_balju_cho"/>
      <sheetName val="입찰견적보고서"/>
      <sheetName val="INPUT"/>
      <sheetName val="woo(mac)"/>
      <sheetName val="식재품셈"/>
      <sheetName val="토목"/>
      <sheetName val="PUMP"/>
      <sheetName val="견"/>
      <sheetName val="일위대가목차"/>
      <sheetName val="날개벽(좌,우=45도,75도)"/>
      <sheetName val="CAL"/>
      <sheetName val="SE-611"/>
      <sheetName val="1을"/>
      <sheetName val="견적집계표"/>
      <sheetName val="입력1"/>
      <sheetName val="FLA"/>
      <sheetName val="원형맨홀수량"/>
      <sheetName val="Sheet2"/>
      <sheetName val="관접합및부설"/>
      <sheetName val="교각1"/>
      <sheetName val="경비2내역"/>
      <sheetName val="수목데이타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가시설(TYPE-A)"/>
      <sheetName val="1호맨홀가감수량"/>
      <sheetName val="SORCE1"/>
      <sheetName val="1-1평균터파기고(1)"/>
      <sheetName val="1호맨홀수량산출"/>
      <sheetName val="전기일위대가"/>
      <sheetName val="부표총괄"/>
      <sheetName val="2.단면가정"/>
      <sheetName val="4.말뚝설계"/>
      <sheetName val="1.설계조건"/>
      <sheetName val="ISBL"/>
      <sheetName val="OSBL"/>
      <sheetName val="건내용"/>
      <sheetName val="INSTR"/>
      <sheetName val="영업소실적"/>
      <sheetName val="wall"/>
      <sheetName val="Inputs"/>
      <sheetName val="Timing&amp;Esc"/>
      <sheetName val="기별(종합)"/>
      <sheetName val="TEL"/>
      <sheetName val="남양시작동자105노65기1.3화1.2"/>
      <sheetName val="TABLE2-1 ISBL(GENEAL-CIVIL)"/>
      <sheetName val="TABLE2-1 ISBL-(SlTE PREP)"/>
      <sheetName val="TABLE2.1 ISBL (Soil Invest)"/>
      <sheetName val="TABLE2-2 OSBL(GENERAL-CIVIL)"/>
      <sheetName val="TABLE2-2 OSBL-(SITE PREP)"/>
      <sheetName val="General Data"/>
      <sheetName val="PRO_A"/>
      <sheetName val="DWG"/>
      <sheetName val="ELEC_MCI"/>
      <sheetName val="MAIN"/>
      <sheetName val="INST_MCI"/>
      <sheetName val="MECH_MCI"/>
      <sheetName val="PRO"/>
      <sheetName val="입사시직위"/>
      <sheetName val="7.5.2 BOQ Summary "/>
      <sheetName val="수량산출서"/>
      <sheetName val="TYPE-B 평균H"/>
      <sheetName val="D-3503"/>
      <sheetName val="Construction"/>
      <sheetName val="Item정리"/>
      <sheetName val="SL dau tien"/>
      <sheetName val="AS포장복구 "/>
      <sheetName val="BJJIN"/>
      <sheetName val="COPING"/>
      <sheetName val="산출내역서집계표"/>
      <sheetName val="Total"/>
      <sheetName val="차량구입"/>
      <sheetName val="골재집계"/>
      <sheetName val="가공비"/>
      <sheetName val="조도계산서 (도서)"/>
      <sheetName val=" 해군동해관사 미장공사A그룹 공내역서.xlsx"/>
      <sheetName val="총괄표"/>
      <sheetName val="지주목시비량산출서"/>
      <sheetName val="danga"/>
      <sheetName val="직공비"/>
      <sheetName val="단가조사"/>
      <sheetName val="식재총괄"/>
      <sheetName val="횡배수관토공수량"/>
      <sheetName val="내역표지"/>
      <sheetName val="금액집계"/>
      <sheetName val="hvac(제어동)"/>
      <sheetName val="내역1"/>
      <sheetName val="설변물량"/>
      <sheetName val="갑지(추정)"/>
      <sheetName val="TYPE-A"/>
      <sheetName val="기초일위"/>
      <sheetName val="시설일위"/>
      <sheetName val="조명일위"/>
      <sheetName val="2000년1차"/>
      <sheetName val="전선 및 전선관"/>
      <sheetName val="#REF"/>
      <sheetName val="Baby일위대가"/>
      <sheetName val="부대대비"/>
      <sheetName val="냉연집계"/>
      <sheetName val="신우"/>
      <sheetName val="CODE"/>
      <sheetName val="시멘트"/>
      <sheetName val="별표 "/>
      <sheetName val="단위별 일위대가표"/>
      <sheetName val="표지판현황"/>
      <sheetName val="7단가"/>
      <sheetName val="적격점수&lt;300억미만&gt;"/>
      <sheetName val="검사현황"/>
      <sheetName val="full (2)"/>
      <sheetName val="월선수금"/>
      <sheetName val="설산1.나"/>
      <sheetName val="본사S"/>
      <sheetName val="Equipment"/>
      <sheetName val="Piping"/>
      <sheetName val="I一般比"/>
      <sheetName val="6월실적"/>
      <sheetName val="손익분석"/>
      <sheetName val="1-1"/>
      <sheetName val="단면가정"/>
      <sheetName val="IMP(MAIN)"/>
      <sheetName val="IMP (REACTOR)"/>
      <sheetName val="봉양~조차장간고하개명(신설)"/>
      <sheetName val="도급양식"/>
      <sheetName val="소일위대가코드표"/>
      <sheetName val="정산노무"/>
      <sheetName val="정산재료"/>
      <sheetName val="전신환매도율"/>
      <sheetName val="건축내역서"/>
      <sheetName val="연습"/>
      <sheetName val="개요"/>
      <sheetName val="Wind Load(3.1) (2)"/>
      <sheetName val="Wind Load(3.2)"/>
      <sheetName val="Wind Load(3.4)"/>
      <sheetName val="차선도색현황"/>
      <sheetName val="인제내역"/>
      <sheetName val="CAPVC"/>
      <sheetName val="노원열병합  건축공사기성내역서"/>
      <sheetName val="대비"/>
      <sheetName val="견적을지"/>
      <sheetName val="EJ"/>
      <sheetName val="전기공사"/>
      <sheetName val="토목주소"/>
      <sheetName val="프랜트면허"/>
      <sheetName val="CP-E2 (품셈표)"/>
      <sheetName val="FACTOR"/>
      <sheetName val="음료실행"/>
      <sheetName val="실행(표지,갑,을)"/>
      <sheetName val="네고율"/>
      <sheetName val="검색"/>
      <sheetName val="Hargamat"/>
      <sheetName val="적용기준"/>
      <sheetName val="단면(RW1)"/>
      <sheetName val="2_자재집계표4"/>
      <sheetName val="화강석_보조기층4"/>
      <sheetName val="혼합기층_포설_및다짐_(2)4"/>
      <sheetName val="보조기층_포설_및다짐4"/>
      <sheetName val="보차도경계석운반_(2)4"/>
      <sheetName val="1_총괄토공4"/>
      <sheetName val="2_하수터파기토공4"/>
      <sheetName val="3_하수수량집계표4"/>
      <sheetName val="4_맹암거집계표4"/>
      <sheetName val="맹암거_토공4"/>
      <sheetName val="5_포장공사수량집계표4"/>
      <sheetName val="도로경계석_(2)4"/>
      <sheetName val="급수급탕_(동관)4"/>
      <sheetName val="오배수_(집계)4"/>
      <sheetName val="2_자재집계표1"/>
      <sheetName val="화강석_보조기층1"/>
      <sheetName val="혼합기층_포설_및다짐_(2)1"/>
      <sheetName val="보조기층_포설_및다짐1"/>
      <sheetName val="보차도경계석운반_(2)1"/>
      <sheetName val="1_총괄토공1"/>
      <sheetName val="2_하수터파기토공1"/>
      <sheetName val="3_하수수량집계표1"/>
      <sheetName val="4_맹암거집계표1"/>
      <sheetName val="맹암거_토공1"/>
      <sheetName val="5_포장공사수량집계표1"/>
      <sheetName val="도로경계석_(2)1"/>
      <sheetName val="급수급탕_(동관)1"/>
      <sheetName val="오배수_(집계)1"/>
      <sheetName val="2_자재집계표2"/>
      <sheetName val="화강석_보조기층2"/>
      <sheetName val="혼합기층_포설_및다짐_(2)2"/>
      <sheetName val="보조기층_포설_및다짐2"/>
      <sheetName val="보차도경계석운반_(2)2"/>
      <sheetName val="1_총괄토공2"/>
      <sheetName val="2_하수터파기토공2"/>
      <sheetName val="3_하수수량집계표2"/>
      <sheetName val="4_맹암거집계표2"/>
      <sheetName val="맹암거_토공2"/>
      <sheetName val="5_포장공사수량집계표2"/>
      <sheetName val="도로경계석_(2)2"/>
      <sheetName val="급수급탕_(동관)2"/>
      <sheetName val="오배수_(집계)2"/>
      <sheetName val="2_자재집계표3"/>
      <sheetName val="화강석_보조기층3"/>
      <sheetName val="혼합기층_포설_및다짐_(2)3"/>
      <sheetName val="보조기층_포설_및다짐3"/>
      <sheetName val="보차도경계석운반_(2)3"/>
      <sheetName val="1_총괄토공3"/>
      <sheetName val="2_하수터파기토공3"/>
      <sheetName val="3_하수수량집계표3"/>
      <sheetName val="4_맹암거집계표3"/>
      <sheetName val="맹암거_토공3"/>
      <sheetName val="5_포장공사수량집계표3"/>
      <sheetName val="도로경계석_(2)3"/>
      <sheetName val="급수급탕_(동관)3"/>
      <sheetName val="오배수_(집계)3"/>
      <sheetName val="첨부파일"/>
      <sheetName val="EUPDAT2"/>
      <sheetName val="가동비율"/>
      <sheetName val="금액"/>
      <sheetName val="N賃率-職"/>
      <sheetName val="Schedule C - Page 2 of 6"/>
      <sheetName val="Schedule C - Page 4 of 6"/>
      <sheetName val="Schedule C - Page 5 of 6"/>
      <sheetName val="Schedule C - Page 6 of 6"/>
      <sheetName val="Schedule A - Page 1 of 3"/>
      <sheetName val="Schedule A - Page 2 of 3"/>
      <sheetName val="Schedule A - Page 3 of 3"/>
      <sheetName val="Schedule B - Page 1 of 4"/>
      <sheetName val="Schedule B - Page 2 of 4"/>
      <sheetName val="Schedule B - Page 3 of 4"/>
      <sheetName val="Schedule B - Page 4 of 4"/>
      <sheetName val="Schedule C - Page 1 of 6"/>
      <sheetName val="Schedule C - Page 3 of 6"/>
      <sheetName val="Schedule E - Page 1 of 11"/>
      <sheetName val="Schedule E - Page 10 of 11"/>
      <sheetName val="Schedule E - Page 11 of 11"/>
      <sheetName val="Schedule E - Page 2 of 11"/>
      <sheetName val="Schedule E - Page 3 of 11"/>
      <sheetName val="Schedule E - Page 4 of 11"/>
      <sheetName val="Schedule E - Page 5 of 11"/>
      <sheetName val="Schedule E - Page 6 of 11"/>
      <sheetName val="Schedule E - Page 7 of 11"/>
      <sheetName val="Schedule E - Page 8 of 11"/>
      <sheetName val="Schedule E - Page 9 of 11"/>
      <sheetName val="A.1.3 - Page 1 of 1"/>
      <sheetName val="A.1.4 - Page 1 of 1"/>
      <sheetName val="A.4 - Page 1 of 1"/>
      <sheetName val="Languages"/>
      <sheetName val="SCH"/>
      <sheetName val="CTEMCOST"/>
      <sheetName val="design data"/>
      <sheetName val="member design"/>
      <sheetName val="RING WALL"/>
      <sheetName val="간접비(1)"/>
      <sheetName val="Front"/>
      <sheetName val="공사비내역서"/>
      <sheetName val="연결임시"/>
      <sheetName val="4 LINE"/>
      <sheetName val="7 th"/>
      <sheetName val="자재단가"/>
      <sheetName val="요율"/>
      <sheetName val="노임"/>
      <sheetName val="자재대"/>
      <sheetName val="비교표"/>
      <sheetName val="골조시행"/>
      <sheetName val="Sheet1 (2)"/>
      <sheetName val="횡배위치"/>
      <sheetName val="공종별 집계"/>
      <sheetName val="RAHMEN"/>
      <sheetName val="CCC"/>
      <sheetName val="단가디비"/>
      <sheetName val="기계"/>
      <sheetName val="식재"/>
      <sheetName val="시설물"/>
      <sheetName val="식재출력용"/>
      <sheetName val="유지관리"/>
      <sheetName val="변화치수"/>
      <sheetName val="공사비예산서(토목분)"/>
      <sheetName val="TC IN"/>
      <sheetName val="DS-최종"/>
      <sheetName val="일위집계표"/>
      <sheetName val="New Valuation"/>
      <sheetName val="남대문빌딩"/>
      <sheetName val="CALCULATION"/>
      <sheetName val="유화"/>
      <sheetName val="DESIGN CRITERIA"/>
      <sheetName val="조명율표"/>
      <sheetName val="DOGI"/>
      <sheetName val="A"/>
      <sheetName val="매원개착터널총괄"/>
      <sheetName val="제원.설계조건"/>
      <sheetName val="경비"/>
      <sheetName val="품셈표"/>
      <sheetName val="EXTERNAL(BOQ)"/>
      <sheetName val="123"/>
      <sheetName val="PumpSpec"/>
      <sheetName val="eq_data"/>
      <sheetName val="h-013211-2"/>
      <sheetName val="견적의뢰"/>
      <sheetName val="CAT_5"/>
      <sheetName val="SUMMARY(S)"/>
      <sheetName val="확산동"/>
      <sheetName val=""/>
      <sheetName val="C"/>
      <sheetName val="건축공사"/>
      <sheetName val="LABTOTAL"/>
      <sheetName val="뚝토공"/>
      <sheetName val="1.취수장"/>
      <sheetName val="기성집계"/>
      <sheetName val="설계조건"/>
      <sheetName val="안정계산"/>
      <sheetName val="단면검토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정부노임단가"/>
      <sheetName val="Sheet1 (2)"/>
      <sheetName val="6PILE  (돌출)"/>
      <sheetName val="사업본부별"/>
      <sheetName val="9월(일별)"/>
      <sheetName val="9월(현장별)"/>
      <sheetName val="10월(일별)"/>
      <sheetName val="10월(현장별)"/>
      <sheetName val="11월(일별) "/>
      <sheetName val="11월(현장별)"/>
      <sheetName val="11월(어음결재)"/>
      <sheetName val="12월(일별) "/>
      <sheetName val="12월(현장별)"/>
      <sheetName val="12월(어음결재)"/>
      <sheetName val="shn"/>
      <sheetName val="상환스케쥴"/>
      <sheetName val="상환총괄"/>
      <sheetName val="양도자산부채"/>
      <sheetName val="지원사항1"/>
      <sheetName val="지원사항 2"/>
      <sheetName val="지원사항3"/>
      <sheetName val="연도별수주계획"/>
      <sheetName val="동종업계"/>
      <sheetName val="#REF"/>
      <sheetName val="7.6.3.BOQ"/>
      <sheetName val="7.6.3(A) AG Piping"/>
      <sheetName val="7.6.3(B) UG Piping"/>
      <sheetName val="7.6.3(C) INSUL"/>
      <sheetName val="7.6.3(D) PAINT"/>
      <sheetName val="7.6.3(E) NDE"/>
      <sheetName val="7.6.3(F) Sup't"/>
      <sheetName val="7.6.3(G) CHEMICAL CL"/>
      <sheetName val="7.6.3(H) Steam"/>
      <sheetName val="List"/>
      <sheetName val="Field Change Notice"/>
      <sheetName val="waiver request"/>
      <sheetName val="ENWA(OUT)"/>
      <sheetName val="from KNPC"/>
      <sheetName val="HDEC Site Memo"/>
      <sheetName val="KNPC Site Memo"/>
      <sheetName val="from HDEC"/>
      <sheetName val="DCN Status "/>
      <sheetName val="FCN Status"/>
      <sheetName val="packing cover"/>
      <sheetName val="packing list"/>
      <sheetName val="Invoice cover"/>
      <sheetName val="invoice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Sheet2"/>
      <sheetName val="작성요약"/>
      <sheetName val="표지"/>
      <sheetName val="목차"/>
      <sheetName val="1.사업개요"/>
      <sheetName val="2.총괄표"/>
      <sheetName val="3.설계총괄(확정)"/>
      <sheetName val="3.전문외주(확정)"/>
      <sheetName val="3.설계총괄(정산)"/>
      <sheetName val="3.전문외주(정산)"/>
      <sheetName val="전문외주비 (Third Party)"/>
      <sheetName val="4.인력(확정)"/>
      <sheetName val="4.인력(조정)"/>
      <sheetName val="4.인력(정산)"/>
      <sheetName val="5.경비내역(확정)"/>
      <sheetName val="운영계획"/>
      <sheetName val="SOFTWARE"/>
      <sheetName val="5.현장경비(확정)"/>
      <sheetName val="5.경비내역(정산)"/>
      <sheetName val="5.현장경비(정산)"/>
      <sheetName val="7.자금수지"/>
      <sheetName val="(참고)제수당현황"/>
      <sheetName val="MH합계"/>
      <sheetName val="6.프로젝트"/>
      <sheetName val="6.PCM"/>
      <sheetName val="6.프로세스"/>
      <sheetName val="6.프로세스-1"/>
      <sheetName val="6.안전"/>
      <sheetName val="6.MR"/>
      <sheetName val="6.MS"/>
      <sheetName val="6.MT"/>
      <sheetName val="6.MM"/>
      <sheetName val="6.MY"/>
      <sheetName val="6.MH"/>
      <sheetName val="6.배관"/>
      <sheetName val="6.전기"/>
      <sheetName val="6.계장"/>
      <sheetName val="6.토목"/>
      <sheetName val="6.건축"/>
      <sheetName val="실행MH비교"/>
      <sheetName val="입찰MH비교"/>
      <sheetName val="규모비교"/>
      <sheetName val="예산서"/>
      <sheetName val="ABUT수량-A1"/>
      <sheetName val="견적"/>
      <sheetName val="내역서"/>
      <sheetName val="total-mse제외"/>
      <sheetName val="P-PM"/>
      <sheetName val="P-품질"/>
      <sheetName val="P-토목"/>
      <sheetName val="P-건축"/>
      <sheetName val="P-기계"/>
      <sheetName val="P-원자력"/>
      <sheetName val="P-배관"/>
      <sheetName val="P-전기"/>
      <sheetName val="P-계장"/>
      <sheetName val="P-인허가"/>
      <sheetName val="P-공통"/>
      <sheetName val="P-SGN"/>
      <sheetName val="P-MSE"/>
      <sheetName val="details"/>
      <sheetName val="WK16"/>
      <sheetName val="Bend_fact "/>
      <sheetName val="95년12월말"/>
      <sheetName val="현금"/>
      <sheetName val="D-3"/>
      <sheetName val="다이꾸"/>
      <sheetName val="노임"/>
      <sheetName val="BID"/>
      <sheetName val="#REF!"/>
      <sheetName val="공사비 내역 (가)"/>
      <sheetName val="견적 집계"/>
      <sheetName val="BOQ"/>
      <sheetName val="h-013211-2"/>
      <sheetName val="공사비PK5월"/>
      <sheetName val="F-302"/>
      <sheetName val="CALCULATION"/>
      <sheetName val="산근"/>
      <sheetName val="설치공사"/>
      <sheetName val="일위대가목차"/>
      <sheetName val="전차선로 물량표"/>
      <sheetName val="한강운반비"/>
      <sheetName val="현장관리비"/>
      <sheetName val="도급양식"/>
      <sheetName val="예산"/>
      <sheetName val="실행내역"/>
      <sheetName val="하조서"/>
      <sheetName val="전기내역서(총계)"/>
      <sheetName val="공통(20-91)"/>
      <sheetName val="조도계산서 (도서)"/>
      <sheetName val="화재 탐지 설비"/>
      <sheetName val="DOC"/>
      <sheetName val="회사99"/>
      <sheetName val="수안보-MBR1"/>
      <sheetName val="상반기손익차2총괄"/>
      <sheetName val="PROCESS"/>
      <sheetName val="Sheet1"/>
      <sheetName val="현황CODE"/>
      <sheetName val="손익현황"/>
      <sheetName val="노무비"/>
      <sheetName val="COVER"/>
      <sheetName val="summary"/>
      <sheetName val="Sum-Equipment"/>
      <sheetName val="Sum-Piping"/>
      <sheetName val="1-1"/>
      <sheetName val="1-2"/>
      <sheetName val="1-3"/>
      <sheetName val="2-1"/>
      <sheetName val="2-2"/>
      <sheetName val="2-3"/>
      <sheetName val="Dir-Manpower"/>
      <sheetName val="Indir-Manpower"/>
      <sheetName val="Equip-Sch"/>
      <sheetName val="Elec. Power"/>
      <sheetName val="工완성공사율"/>
      <sheetName val="사급자재"/>
      <sheetName val="부대공내역서적용수량"/>
      <sheetName val="부대공(집계)"/>
      <sheetName val="낙석방지책"/>
      <sheetName val="난간"/>
      <sheetName val="교통안내표지판"/>
      <sheetName val="교통표지판기초"/>
      <sheetName val="교통표지판기초단위"/>
      <sheetName val="조경공사"/>
      <sheetName val="SKETCH"/>
      <sheetName val="LOADS"/>
      <sheetName val="단가비교표"/>
      <sheetName val="IN"/>
      <sheetName val="97 사업추정(WEKI)"/>
      <sheetName val="직원동원SCH"/>
      <sheetName val="Total"/>
      <sheetName val="간접비총괄 (2)"/>
      <sheetName val="개비온집계"/>
      <sheetName val="개비온 단위"/>
      <sheetName val="동결보온"/>
      <sheetName val="Base_Data"/>
      <sheetName val="과천MAIN"/>
      <sheetName val="JUCK"/>
      <sheetName val="(10.bis OGB_hours ratio)"/>
      <sheetName val="OD5000"/>
      <sheetName val="동원(3)"/>
      <sheetName val="예정(3)"/>
      <sheetName val="품셈집계"/>
      <sheetName val="기준액"/>
      <sheetName val="10한빛"/>
      <sheetName val="설계흐름도"/>
      <sheetName val="실행자재"/>
      <sheetName val="Sheet5"/>
      <sheetName val="법인6-2(11)호(을)"/>
      <sheetName val="당좌차월"/>
      <sheetName val="4002"/>
      <sheetName val="FORMULA"/>
      <sheetName val="자압1"/>
      <sheetName val="필리핀"/>
      <sheetName val="Euro-conversion"/>
      <sheetName val="out_prog"/>
      <sheetName val="선적schedule (2)"/>
      <sheetName val="釤.전기"/>
      <sheetName val="TOEC"/>
      <sheetName val="실행철강하도"/>
      <sheetName val="Piping Cost"/>
      <sheetName val="PipWT"/>
      <sheetName val="DCS"/>
      <sheetName val="ANALYSER"/>
      <sheetName val="설비"/>
      <sheetName val="2008년"/>
      <sheetName val="FWBS7000,8000"/>
      <sheetName val="CABLE"/>
      <sheetName val="일보"/>
      <sheetName val="청산공사"/>
      <sheetName val="CW Piping Work"/>
      <sheetName val="Hoja3"/>
      <sheetName val="Hoja2"/>
      <sheetName val="종배수관"/>
      <sheetName val="Basis"/>
      <sheetName val="인원계획"/>
      <sheetName val="piping"/>
      <sheetName val="Mtl Summary"/>
      <sheetName val="철수현황"/>
      <sheetName val="T6-6(2)"/>
      <sheetName val="본부고정이하현황(월말)"/>
      <sheetName val="정리별분류"/>
      <sheetName val="증감내역"/>
      <sheetName val="FX Exposure_Nov00"/>
      <sheetName val="USdebt"/>
      <sheetName val="debtmonth"/>
      <sheetName val="purchasing"/>
      <sheetName val="Exposure0007"/>
      <sheetName val="FX Exposure0011_BOD"/>
      <sheetName val="FX Exposure_Apr2001"/>
      <sheetName val="부표목록"/>
      <sheetName val="추정PL"/>
      <sheetName val="매출액(내수)"/>
      <sheetName val="시장현황"/>
      <sheetName val="매출원가"/>
      <sheetName val="원재료비(내수)"/>
      <sheetName val="과거매출액대비구성비"/>
      <sheetName val="판관비"/>
      <sheetName val="인건비"/>
      <sheetName val="영업외"/>
      <sheetName val="지급이자"/>
      <sheetName val="감가상각"/>
      <sheetName val="유보금"/>
      <sheetName val="제세산출"/>
      <sheetName val="운전자금"/>
      <sheetName val="1회전자금(참고)"/>
      <sheetName val="1회전기간(참고)"/>
      <sheetName val="현금수지예상표"/>
      <sheetName val="영업후조성자금"/>
      <sheetName val="118.세금과공과"/>
      <sheetName val="eq_data"/>
      <sheetName val="Steam-Sys"/>
      <sheetName val="BQ List"/>
      <sheetName val="교각계산"/>
      <sheetName val="가도공"/>
      <sheetName val="PumpSpec"/>
      <sheetName val="TABLE2-2 OSBL-(SITE PREP)"/>
      <sheetName val="Spread_sht"/>
      <sheetName val="Tipo Terzi"/>
      <sheetName val="Salary"/>
      <sheetName val="ITstk"/>
      <sheetName val="주사무실종합"/>
      <sheetName val="영업2"/>
      <sheetName val="영업3"/>
      <sheetName val="Testing"/>
      <sheetName val="11월(일별)_"/>
      <sheetName val="12월(일별)_"/>
      <sheetName val="지원사항_2"/>
      <sheetName val="7_6_3_BOQ"/>
      <sheetName val="7_6_3(A)_AG_Piping"/>
      <sheetName val="7_6_3(B)_UG_Piping"/>
      <sheetName val="7_6_3(C)_INSUL"/>
      <sheetName val="7_6_3(D)_PAINT"/>
      <sheetName val="7_6_3(E)_NDE"/>
      <sheetName val="7_6_3(F)_Sup't"/>
      <sheetName val="7_6_3(G)_CHEMICAL_CL"/>
      <sheetName val="7_6_3(H)_Steam"/>
      <sheetName val="Field_Change_Notice"/>
      <sheetName val="waiver_request"/>
      <sheetName val="from_KNPC"/>
      <sheetName val="HDEC_Site_Memo"/>
      <sheetName val="KNPC_Site_Memo"/>
      <sheetName val="from_HDEC"/>
      <sheetName val="packing_cover"/>
      <sheetName val="packing_list"/>
      <sheetName val="Invoice_cover"/>
      <sheetName val="DCN_Status_"/>
      <sheetName val="FCN_Status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1_사업개요"/>
      <sheetName val="2_총괄표"/>
      <sheetName val="3_설계총괄(확정)"/>
      <sheetName val="3_전문외주(확정)"/>
      <sheetName val="3_설계총괄(정산)"/>
      <sheetName val="3_전문외주(정산)"/>
      <sheetName val="전문외주비_(Third_Party)"/>
      <sheetName val="4_인력(확정)"/>
      <sheetName val="4_인력(조정)"/>
      <sheetName val="4_인력(정산)"/>
      <sheetName val="5_경비내역(확정)"/>
      <sheetName val="5_현장경비(확정)"/>
      <sheetName val="5_경비내역(정산)"/>
      <sheetName val="5_현장경비(정산)"/>
      <sheetName val="7_자금수지"/>
      <sheetName val="6_프로젝트"/>
      <sheetName val="6_PCM"/>
      <sheetName val="6_프로세스"/>
      <sheetName val="6_프로세스-1"/>
      <sheetName val="6_안전"/>
      <sheetName val="6_MR"/>
      <sheetName val="6_MS"/>
      <sheetName val="6_MT"/>
      <sheetName val="6_MM"/>
      <sheetName val="6_MY"/>
      <sheetName val="6_MH"/>
      <sheetName val="6_배관"/>
      <sheetName val="6_전기"/>
      <sheetName val="6_계장"/>
      <sheetName val="6_토목"/>
      <sheetName val="6_건축"/>
      <sheetName val="Bend_fact_"/>
      <sheetName val="공사비_내역_(가)"/>
      <sheetName val="견적_집계"/>
      <sheetName val="전차선로_물량표"/>
      <sheetName val="조도계산서_(도서)"/>
      <sheetName val="화재_탐지_설비"/>
      <sheetName val="Elec__Power"/>
      <sheetName val="97_사업추정(WEKI)"/>
      <sheetName val="간접비총괄_(2)"/>
      <sheetName val="개비온_단위"/>
      <sheetName val="(10_bis_OGB_hours_ratio)"/>
      <sheetName val="Sheet1_(2)"/>
      <sheetName val="6PILE__(돌출)"/>
      <sheetName val="선적schedule_(2)"/>
      <sheetName val="釤_전기"/>
      <sheetName val="Piping_Cost"/>
      <sheetName val="CW_Piping_Work"/>
      <sheetName val="MOB-MAN1"/>
      <sheetName val="07"/>
      <sheetName val="07월"/>
      <sheetName val="07월분"/>
      <sheetName val="5월 회원사 배분 명세서(2)"/>
      <sheetName val="어음청구서"/>
      <sheetName val="예비비청구서"/>
      <sheetName val="배수내역 (2)"/>
      <sheetName val="DATA"/>
      <sheetName val="P.M 별"/>
      <sheetName val="소화실적"/>
      <sheetName val="Income Statement"/>
      <sheetName val="借積IQ"/>
      <sheetName val="frmm HDEC"/>
      <sheetName val="개시전표"/>
      <sheetName val="공사집계"/>
      <sheetName val="BQ(Piping)"/>
      <sheetName val="new급여T(4을-운전)"/>
      <sheetName val="DPRKMHDT"/>
      <sheetName val="ITEM"/>
      <sheetName val="BM DATA SHEET"/>
      <sheetName val="Graph (LGEN)"/>
      <sheetName val="Civil"/>
      <sheetName val="터널조도"/>
      <sheetName val="기둥(원형)"/>
      <sheetName val="200712(법인)"/>
      <sheetName val="200712(해외현지법인계)"/>
      <sheetName val="Sohar담수Target"/>
      <sheetName val="자압"/>
      <sheetName val="COPING"/>
      <sheetName val="General Data"/>
      <sheetName val="panel board installation"/>
      <sheetName val="FORM-3"/>
      <sheetName val="Rekap A"/>
      <sheetName val="LOPCALC"/>
      <sheetName val="MOTOR"/>
      <sheetName val="Default_Magics"/>
      <sheetName val="Code_Magics"/>
      <sheetName val="NOMUBI"/>
      <sheetName val="Sheet3"/>
      <sheetName val="ELECTRICAL"/>
      <sheetName val="전체내역 (2)"/>
      <sheetName val="지급자재"/>
      <sheetName val="갑지"/>
      <sheetName val="El(Increased)"/>
      <sheetName val="간접비내역-1"/>
      <sheetName val="cement"/>
      <sheetName val="Units"/>
      <sheetName val="Instructions"/>
      <sheetName val="FORM_3"/>
      <sheetName val="15 문제점"/>
      <sheetName val="자문요청"/>
      <sheetName val="»ç¾÷º»ºÎº°"/>
      <sheetName val="9¿ù(ÀÏº°)"/>
      <sheetName val="9¿ù(ÇöÀåº°)"/>
      <sheetName val="10¿ù(ÀÏº°)"/>
      <sheetName val="10¿ù(ÇöÀåº°)"/>
      <sheetName val="11¿ù(ÀÏº°) "/>
      <sheetName val="11¿ù(ÇöÀåº°)"/>
      <sheetName val="11¿ù(¾îÀ½°áÀç)"/>
      <sheetName val="12¿ù(ÀÏº°) "/>
      <sheetName val="12¿ù(ÇöÀåº°)"/>
      <sheetName val="12¿ù(¾îÀ½°áÀç)"/>
      <sheetName val="»óÈ¯½ºÄÉÁì"/>
      <sheetName val="»óÈ¯ÃÑ°ý"/>
      <sheetName val="¾çµµÀÚ»êºÎÃ¤"/>
      <sheetName val="Áö¿ø»çÇ×1"/>
      <sheetName val="Áö¿ø»çÇ× 2"/>
      <sheetName val="Áö¿ø»çÇ×3"/>
      <sheetName val="¿¬µµº°¼öÁÖ°èÈ¹"/>
      <sheetName val="µ¿Á¾¾÷°è"/>
      <sheetName val="ÀÛ¼º¿ä¾à"/>
      <sheetName val="Ç¥Áö"/>
      <sheetName val="¸ñÂ÷"/>
      <sheetName val="1.»ç¾÷°³¿ä"/>
      <sheetName val="2.ÃÑ°ýÇ¥"/>
      <sheetName val="3.¼³°èÃÑ°ý(È®Á¤)"/>
      <sheetName val="3.Àü¹®¿ÜÁÖ(È®Á¤)"/>
      <sheetName val="3.¼³°èÃÑ°ý(Á¤»ê)"/>
      <sheetName val="3.Àü¹®¿ÜÁÖ(Á¤»ê)"/>
      <sheetName val="Àü¹®¿ÜÁÖºñ (Third Party)"/>
      <sheetName val="4.ÀÎ·Â(È®Á¤)"/>
      <sheetName val="4.ÀÎ·Â(Á¶Á¤)"/>
      <sheetName val="4.ÀÎ·Â(Á¤»ê)"/>
      <sheetName val="5.°æºñ³»¿ª(È®Á¤)"/>
      <sheetName val="¿î¿µ°èÈ¹"/>
      <sheetName val="5.ÇöÀå°æºñ(È®Á¤)"/>
      <sheetName val="5.°æºñ³»¿ª(Á¤»ê)"/>
      <sheetName val="5.ÇöÀå°æºñ(Á¤»ê)"/>
      <sheetName val="7.ÀÚ±Ý¼öÁö"/>
      <sheetName val="(Âü°í)Á¦¼ö´çÇöÈ²"/>
      <sheetName val="MHÇÕ°è"/>
      <sheetName val="6.ÇÁ·ÎÁ§Æ®"/>
      <sheetName val="6.ÇÁ·Î¼¼½º"/>
      <sheetName val="6.ÇÁ·Î¼¼½º-1"/>
      <sheetName val="6.¾ÈÀü"/>
      <sheetName val="6.¹è°ü"/>
      <sheetName val="6.Àü±â"/>
      <sheetName val="6.°èÀå"/>
      <sheetName val="6.Åä¸ñ"/>
      <sheetName val="6.°ÇÃà"/>
      <sheetName val="½ÇÇàMHºñ±³"/>
      <sheetName val="ÀÔÂûMHºñ±³"/>
      <sheetName val="±Ô¸ðºñ±³"/>
      <sheetName val="Á¤ºÎ³ëÀÓ´Ü°¡"/>
      <sheetName val="¿¹»ê¼­"/>
      <sheetName val="ABUT¼ö·®-A1"/>
      <sheetName val="°ßÀû"/>
      <sheetName val="³»¿ª¼­"/>
      <sheetName val="°ßÀû Áý°è"/>
      <sheetName val="total-mseÁ¦¿Ü"/>
      <sheetName val="P-Ç°Áú"/>
      <sheetName val="P-Åä¸ñ"/>
      <sheetName val="P-°ÇÃà"/>
      <sheetName val="P-±â°è"/>
      <sheetName val="P-¿øÀÚ·Â"/>
      <sheetName val="P-¹è°ü"/>
      <sheetName val="P-Àü±â"/>
      <sheetName val="P-°èÀå"/>
      <sheetName val="P-ÀÎÇã°¡"/>
      <sheetName val="P-°øÅë"/>
      <sheetName val="´ÙÀÌ²Ù"/>
      <sheetName val="95³â12¿ù¸»"/>
      <sheetName val="Çö±Ý"/>
      <sheetName val="³ëÀÓ"/>
      <sheetName val="¼ö¾Èº¸-MBR1"/>
      <sheetName val="´Ü°¡ºñ±³Ç¥"/>
      <sheetName val="È¸»ç99"/>
      <sheetName val="°ø»çºñ ³»¿ª (°¡)"/>
      <sheetName val="ÇöÈ²CODE"/>
      <sheetName val="¼ÕÀÍÇöÈ²"/>
      <sheetName val="°ø»çºñPK5¿ù"/>
      <sheetName val="»ê±Ù"/>
      <sheetName val="»ó¹Ý±â¼ÕÀÍÂ÷2ÃÑ°ý"/>
      <sheetName val="¼³Ä¡°ø»ç"/>
      <sheetName val="ÀÏÀ§´ë°¡¸ñÂ÷"/>
      <sheetName val="ÀüÂ÷¼±·Î ¹°·®Ç¥"/>
      <sheetName val="ÇÑ°­¿î¹Ýºñ"/>
      <sheetName val="ÇöÀå°ü¸®ºñ"/>
      <sheetName val="µµ±Þ¾ç½Ä"/>
      <sheetName val="¿¹»ê"/>
      <sheetName val="½ÇÇà³»¿ª"/>
      <sheetName val="ÇÏÁ¶¼­"/>
      <sheetName val="Àü±â³»¿ª¼­(ÃÑ°è)"/>
      <sheetName val="°øÅë(20-91)"/>
      <sheetName val="Á¶µµ°è»ê¼­ (µµ¼­)"/>
      <sheetName val="È­Àç Å½Áö ¼³ºñ"/>
      <sheetName val="³ë¹«ºñ"/>
      <sheetName val="Íï¿Ï¼º°ø»çÀ²"/>
      <sheetName val="»ç±ÞÀÚÀç"/>
      <sheetName val="ºÎ´ë°ø³»¿ª¼­Àû¿ë¼ö·®"/>
      <sheetName val="ºÎ´ë°ø(Áý°è)"/>
      <sheetName val="³«¼®¹æÁöÃ¥"/>
      <sheetName val="³­°£"/>
      <sheetName val="±³Åë¾È³»Ç¥ÁöÆÇ"/>
      <sheetName val="±³ÅëÇ¥ÁöÆÇ±âÃÊ"/>
      <sheetName val="±³ÅëÇ¥ÁöÆÇ±âÃÊ´ÜÀ§"/>
      <sheetName val="Á¶°æ°ø»ç"/>
      <sheetName val="°úÃµMAIN"/>
      <sheetName val="97 »ç¾÷ÃßÁ¤(WEKI)"/>
      <sheetName val="Á÷¿øµ¿¿øSCH"/>
      <sheetName val="°£Á¢ºñÃÑ°ý (2)"/>
      <sheetName val="최민영집계25"/>
      <sheetName val="Piping(Methanol)"/>
      <sheetName val="건내용"/>
      <sheetName val="Instruction"/>
      <sheetName val="집계표"/>
      <sheetName val="인원동원계획"/>
      <sheetName val="123"/>
      <sheetName val="INSTR"/>
      <sheetName val="차수"/>
      <sheetName val="comm"/>
      <sheetName val="영동"/>
      <sheetName val="경비"/>
      <sheetName val="SE-611"/>
      <sheetName val="1월"/>
      <sheetName val="전신환매도율"/>
      <sheetName val="차집관로내역"/>
      <sheetName val="와동25-3(변경)"/>
      <sheetName val="부하(성남)"/>
      <sheetName val="FPU"/>
      <sheetName val="EQUIPMENT LIST"/>
      <sheetName val="C급보 "/>
      <sheetName val=" 견적서"/>
      <sheetName val="I_O Module"/>
      <sheetName val="I_O List"/>
      <sheetName val="건장설비"/>
      <sheetName val="실행비교"/>
      <sheetName val="연돌일위집계"/>
      <sheetName val="계장공사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"/>
      <sheetName val="내역서"/>
      <sheetName val="01상노임"/>
      <sheetName val="1.설계설명서"/>
      <sheetName val="대운산출"/>
      <sheetName val="별표집계"/>
      <sheetName val="단가"/>
      <sheetName val="토목수량(공정)"/>
      <sheetName val="노무"/>
      <sheetName val="콘센트신설"/>
      <sheetName val="맨홀조서"/>
      <sheetName val="노임단가"/>
      <sheetName val="하조서"/>
      <sheetName val="설계명세서"/>
      <sheetName val="철거산출근거"/>
      <sheetName val="22수량"/>
      <sheetName val="평자재단가"/>
      <sheetName val="일위대가목록표"/>
      <sheetName val="용소리교"/>
      <sheetName val="일위대가"/>
      <sheetName val="조명시설"/>
      <sheetName val="소방"/>
      <sheetName val="하도관리"/>
      <sheetName val="확약서"/>
    </sheetNames>
    <sheetDataSet>
      <sheetData sheetId="0">
        <row r="5">
          <cell r="E5">
            <v>1088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광덕세천"/>
      <sheetName val="이천석축"/>
      <sheetName val="이천농로"/>
      <sheetName val="이천암거"/>
      <sheetName val="어담2세천 (3)"/>
      <sheetName val="구호세천"/>
      <sheetName val="표지"/>
      <sheetName val="인금세천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데리네이타집계표"/>
      <sheetName val="곡선유도표지판수량집계표"/>
      <sheetName val="데리네이타설치현황1"/>
      <sheetName val="데리네이타설치현황2"/>
      <sheetName val="비탈면보호공수량집계표"/>
      <sheetName val="비탈면보호공수량산출"/>
      <sheetName val="비탈면보호공설치현황"/>
      <sheetName val="돌붙임수량산출"/>
      <sheetName val="수로이설현황"/>
      <sheetName val="차선도색수량집계표1"/>
      <sheetName val="차선도색수량집계표2"/>
      <sheetName val="RAMP노즈부"/>
      <sheetName val="laroux"/>
      <sheetName val="수량명세서"/>
      <sheetName val="내역서적용수량"/>
      <sheetName val="부대공자재 총"/>
      <sheetName val="표지판설치집계표"/>
      <sheetName val="표지판기초토공수량산출"/>
      <sheetName val="표지판설치현황"/>
      <sheetName val="차선도색수량집계표"/>
      <sheetName val="본선차선"/>
      <sheetName val="버스정차대"/>
      <sheetName val="주차장"/>
      <sheetName val="횡단보도"/>
      <sheetName val="평면교차"/>
      <sheetName val="노즈부"/>
      <sheetName val="가드레일수량집계표"/>
      <sheetName val="가드레일수량산출"/>
      <sheetName val="표지병집계"/>
      <sheetName val="표지병"/>
      <sheetName val="가로수분집계표"/>
      <sheetName val="가로수분"/>
      <sheetName val="방음벽수량집계표"/>
      <sheetName val="방음벽설치현황 "/>
      <sheetName val="미끄럼집계"/>
      <sheetName val="미끄럼"/>
      <sheetName val="미끄럼산출"/>
      <sheetName val="말뚝물량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널총괄표"/>
      <sheetName val="개좌터널내역"/>
      <sheetName val="관급자재내역"/>
      <sheetName val="인건비"/>
      <sheetName val="비탈면보호공수량산출"/>
      <sheetName val="개좌터널통신내역서(2004.04)"/>
    </sheetNames>
    <sheetDataSet>
      <sheetData sheetId="0" refreshError="1"/>
      <sheetData sheetId="1"/>
      <sheetData sheetId="2" refreshError="1"/>
      <sheetData sheetId="3">
        <row r="3">
          <cell r="B3" t="str">
            <v>건축목공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원가"/>
      <sheetName val="내역"/>
      <sheetName val="공내역 "/>
      <sheetName val="수량"/>
      <sheetName val="일위목록"/>
      <sheetName val="일위대가"/>
      <sheetName val="단가대비"/>
      <sheetName val="단가산출"/>
      <sheetName val="할증"/>
      <sheetName val="지급"/>
      <sheetName val="노임"/>
      <sheetName val="품셈"/>
      <sheetName val="공간내역"/>
      <sheetName val="Module1"/>
      <sheetName val="표지"/>
      <sheetName val="견적기준"/>
      <sheetName val="총괄표"/>
      <sheetName val="내역서"/>
      <sheetName val="인건비"/>
      <sheetName val="비탈면보호공수량산출"/>
      <sheetName val="건축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투찰"/>
      <sheetName val="투찰판"/>
      <sheetName val="부대입찰"/>
      <sheetName val="하도내역"/>
      <sheetName val="하도"/>
      <sheetName val="VXXXX"/>
      <sheetName val="설변현황 (사업소제출전체포함)"/>
      <sheetName val="설변현황 (사업소제출보류제외최종) (2)"/>
      <sheetName val="계획 (9.29) (제출용)"/>
      <sheetName val="내역서"/>
      <sheetName val="상황판"/>
      <sheetName val="자재인력"/>
      <sheetName val="집계장"/>
      <sheetName val="인건비"/>
      <sheetName val="일위대가"/>
      <sheetName val="비탈면보호공수량산출"/>
      <sheetName val="Sheet1 (2)"/>
      <sheetName val="값"/>
      <sheetName val="변경집계2"/>
      <sheetName val="사급비"/>
      <sheetName val="저가1"/>
      <sheetName val="설비단가표"/>
      <sheetName val="백호우계수"/>
      <sheetName val="철근총괄"/>
      <sheetName val="단가"/>
      <sheetName val="직접노무비"/>
      <sheetName val="조건표"/>
      <sheetName val="총괄표"/>
      <sheetName val="결재란"/>
      <sheetName val="관리본관골조 집계"/>
      <sheetName val="관리본관 골조"/>
      <sheetName val="관리본관마감집계"/>
      <sheetName val="관리본관 마감"/>
      <sheetName val="Module1"/>
      <sheetName val="총집계"/>
      <sheetName val="건축"/>
      <sheetName val="갑지 "/>
      <sheetName val="수량1"/>
      <sheetName val="수량 2"/>
      <sheetName val="연회장"/>
      <sheetName val="오크밸리 연회장 실물량 "/>
      <sheetName val="오크밸리 연회장철근증 실물량  (3)"/>
      <sheetName val="오크밸리 연회장 실물량  (2)"/>
      <sheetName val="변경갑지"/>
      <sheetName val="내역갑지"/>
      <sheetName val="대연회장도급내역"/>
      <sheetName val="오크밸리 관리비"/>
      <sheetName val="당초실행내역"/>
      <sheetName val="실행내역변경"/>
      <sheetName val="오크밸리 변경관리비"/>
      <sheetName val="실행내역재변경"/>
      <sheetName val="대연회장최종도급내역"/>
      <sheetName val="최종도급갑지"/>
      <sheetName val="최종도급갑지 (2)"/>
      <sheetName val="시점교대"/>
      <sheetName val="다곡2교"/>
      <sheetName val="날개벽수량표"/>
      <sheetName val="명세서"/>
      <sheetName val="일위(통합 기존)"/>
      <sheetName val="수량산출서"/>
      <sheetName val="내역"/>
      <sheetName val="일위"/>
      <sheetName val="적용기준"/>
      <sheetName val="노임단가"/>
      <sheetName val="신흥교"/>
      <sheetName val="공주-교대(A1)"/>
      <sheetName val="일반공사"/>
      <sheetName val="준검 내역서"/>
      <sheetName val="장비가동"/>
      <sheetName val="하수급견적대비"/>
      <sheetName val="을"/>
      <sheetName val="구조물공"/>
      <sheetName val="부대공"/>
      <sheetName val="배수공"/>
      <sheetName val="토공"/>
      <sheetName val="포장공"/>
      <sheetName val="수량산출"/>
      <sheetName val="견적내역"/>
      <sheetName val="집계표"/>
      <sheetName val="제출내역 (2)"/>
      <sheetName val="DATA 입력부"/>
      <sheetName val="지급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종단가"/>
      <sheetName val="부표,총괄"/>
      <sheetName val="공단단가"/>
      <sheetName val="공종노임"/>
      <sheetName val="적용노임(00.1)"/>
      <sheetName val="노임단가"/>
      <sheetName val="품셈"/>
      <sheetName val="부표"/>
      <sheetName val="내역서"/>
      <sheetName val="강관별표총괄"/>
      <sheetName val="강관별표"/>
      <sheetName val="노임"/>
      <sheetName val="강관품셈"/>
      <sheetName val="강관품셈총괄"/>
      <sheetName val="파일설계서"/>
      <sheetName val="강관부표"/>
      <sheetName val="강수량총괄"/>
      <sheetName val="수량산출서"/>
      <sheetName val="예산서"/>
      <sheetName val="수량총괄표"/>
      <sheetName val="규격표"/>
      <sheetName val="철근콘크"/>
      <sheetName val="거푸집"/>
      <sheetName val="터파기"/>
      <sheetName val="되메우기"/>
      <sheetName val="부지복구"/>
      <sheetName val="운반거리"/>
      <sheetName val="농지정리"/>
      <sheetName val="차량운반"/>
      <sheetName val="투찰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원가"/>
      <sheetName val="내역"/>
      <sheetName val="수량"/>
      <sheetName val="일위목록"/>
      <sheetName val="일위대가"/>
      <sheetName val="단가대비"/>
      <sheetName val="시설대가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표지"/>
      <sheetName val="견적기준"/>
      <sheetName val="총괄표"/>
      <sheetName val="내역서"/>
      <sheetName val="수량산출서"/>
      <sheetName val="투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예산내역서"/>
      <sheetName val="가로등설치공사"/>
      <sheetName val="일위대가집계"/>
      <sheetName val="일위대가"/>
      <sheetName val="단가대비표"/>
      <sheetName val="한전공사비"/>
      <sheetName val="사용전검사비"/>
      <sheetName val="설치비산출(250W)"/>
      <sheetName val="이설비산출(250W)"/>
      <sheetName val="철거비산출(250W)"/>
      <sheetName val="노임"/>
      <sheetName val="수량집계(대곡)"/>
      <sheetName val="수량산출근거"/>
      <sheetName val="조도계산서표지"/>
      <sheetName val="조도계산서"/>
      <sheetName val="조도계산서(250W)"/>
      <sheetName val="인입계산서표지"/>
      <sheetName val="인입간선규격"/>
      <sheetName val="전압강하계산표지"/>
      <sheetName val="기준"/>
      <sheetName val="전압강하계산서"/>
      <sheetName val="투찰"/>
      <sheetName val="인건비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3">
          <cell r="A3" t="str">
            <v xml:space="preserve"> 가로등주(10M)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"/>
      <sheetName val="단가대비표"/>
      <sheetName val="일위대가"/>
      <sheetName val="#REF"/>
    </sheetNames>
    <sheetDataSet>
      <sheetData sheetId="0">
        <row r="5">
          <cell r="E5">
            <v>1088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당진"/>
      <sheetName val="말뚝물량"/>
      <sheetName val="수량산출서"/>
      <sheetName val="시행후면적"/>
      <sheetName val="수지예산"/>
    </sheetNames>
    <sheetDataSet>
      <sheetData sheetId="0"/>
      <sheetData sheetId="1">
        <row r="10">
          <cell r="D10">
            <v>1.8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N96"/>
  <sheetViews>
    <sheetView view="pageBreakPreview" zoomScale="90" zoomScaleSheetLayoutView="90" workbookViewId="0">
      <selection activeCell="M28" sqref="M28"/>
    </sheetView>
  </sheetViews>
  <sheetFormatPr defaultRowHeight="16.5"/>
  <cols>
    <col min="1" max="3" width="9" style="20"/>
    <col min="4" max="4" width="9" style="20" customWidth="1"/>
    <col min="5" max="13" width="9" style="20"/>
    <col min="14" max="14" width="3.125" style="20" customWidth="1"/>
    <col min="15" max="269" width="9" style="20"/>
    <col min="270" max="270" width="3.125" style="20" customWidth="1"/>
    <col min="271" max="525" width="9" style="20"/>
    <col min="526" max="526" width="3.125" style="20" customWidth="1"/>
    <col min="527" max="781" width="9" style="20"/>
    <col min="782" max="782" width="3.125" style="20" customWidth="1"/>
    <col min="783" max="1037" width="9" style="20"/>
    <col min="1038" max="1038" width="3.125" style="20" customWidth="1"/>
    <col min="1039" max="1293" width="9" style="20"/>
    <col min="1294" max="1294" width="3.125" style="20" customWidth="1"/>
    <col min="1295" max="1549" width="9" style="20"/>
    <col min="1550" max="1550" width="3.125" style="20" customWidth="1"/>
    <col min="1551" max="1805" width="9" style="20"/>
    <col min="1806" max="1806" width="3.125" style="20" customWidth="1"/>
    <col min="1807" max="2061" width="9" style="20"/>
    <col min="2062" max="2062" width="3.125" style="20" customWidth="1"/>
    <col min="2063" max="2317" width="9" style="20"/>
    <col min="2318" max="2318" width="3.125" style="20" customWidth="1"/>
    <col min="2319" max="2573" width="9" style="20"/>
    <col min="2574" max="2574" width="3.125" style="20" customWidth="1"/>
    <col min="2575" max="2829" width="9" style="20"/>
    <col min="2830" max="2830" width="3.125" style="20" customWidth="1"/>
    <col min="2831" max="3085" width="9" style="20"/>
    <col min="3086" max="3086" width="3.125" style="20" customWidth="1"/>
    <col min="3087" max="3341" width="9" style="20"/>
    <col min="3342" max="3342" width="3.125" style="20" customWidth="1"/>
    <col min="3343" max="3597" width="9" style="20"/>
    <col min="3598" max="3598" width="3.125" style="20" customWidth="1"/>
    <col min="3599" max="3853" width="9" style="20"/>
    <col min="3854" max="3854" width="3.125" style="20" customWidth="1"/>
    <col min="3855" max="4109" width="9" style="20"/>
    <col min="4110" max="4110" width="3.125" style="20" customWidth="1"/>
    <col min="4111" max="4365" width="9" style="20"/>
    <col min="4366" max="4366" width="3.125" style="20" customWidth="1"/>
    <col min="4367" max="4621" width="9" style="20"/>
    <col min="4622" max="4622" width="3.125" style="20" customWidth="1"/>
    <col min="4623" max="4877" width="9" style="20"/>
    <col min="4878" max="4878" width="3.125" style="20" customWidth="1"/>
    <col min="4879" max="5133" width="9" style="20"/>
    <col min="5134" max="5134" width="3.125" style="20" customWidth="1"/>
    <col min="5135" max="5389" width="9" style="20"/>
    <col min="5390" max="5390" width="3.125" style="20" customWidth="1"/>
    <col min="5391" max="5645" width="9" style="20"/>
    <col min="5646" max="5646" width="3.125" style="20" customWidth="1"/>
    <col min="5647" max="5901" width="9" style="20"/>
    <col min="5902" max="5902" width="3.125" style="20" customWidth="1"/>
    <col min="5903" max="6157" width="9" style="20"/>
    <col min="6158" max="6158" width="3.125" style="20" customWidth="1"/>
    <col min="6159" max="6413" width="9" style="20"/>
    <col min="6414" max="6414" width="3.125" style="20" customWidth="1"/>
    <col min="6415" max="6669" width="9" style="20"/>
    <col min="6670" max="6670" width="3.125" style="20" customWidth="1"/>
    <col min="6671" max="6925" width="9" style="20"/>
    <col min="6926" max="6926" width="3.125" style="20" customWidth="1"/>
    <col min="6927" max="7181" width="9" style="20"/>
    <col min="7182" max="7182" width="3.125" style="20" customWidth="1"/>
    <col min="7183" max="7437" width="9" style="20"/>
    <col min="7438" max="7438" width="3.125" style="20" customWidth="1"/>
    <col min="7439" max="7693" width="9" style="20"/>
    <col min="7694" max="7694" width="3.125" style="20" customWidth="1"/>
    <col min="7695" max="7949" width="9" style="20"/>
    <col min="7950" max="7950" width="3.125" style="20" customWidth="1"/>
    <col min="7951" max="8205" width="9" style="20"/>
    <col min="8206" max="8206" width="3.125" style="20" customWidth="1"/>
    <col min="8207" max="8461" width="9" style="20"/>
    <col min="8462" max="8462" width="3.125" style="20" customWidth="1"/>
    <col min="8463" max="8717" width="9" style="20"/>
    <col min="8718" max="8718" width="3.125" style="20" customWidth="1"/>
    <col min="8719" max="8973" width="9" style="20"/>
    <col min="8974" max="8974" width="3.125" style="20" customWidth="1"/>
    <col min="8975" max="9229" width="9" style="20"/>
    <col min="9230" max="9230" width="3.125" style="20" customWidth="1"/>
    <col min="9231" max="9485" width="9" style="20"/>
    <col min="9486" max="9486" width="3.125" style="20" customWidth="1"/>
    <col min="9487" max="9741" width="9" style="20"/>
    <col min="9742" max="9742" width="3.125" style="20" customWidth="1"/>
    <col min="9743" max="9997" width="9" style="20"/>
    <col min="9998" max="9998" width="3.125" style="20" customWidth="1"/>
    <col min="9999" max="10253" width="9" style="20"/>
    <col min="10254" max="10254" width="3.125" style="20" customWidth="1"/>
    <col min="10255" max="10509" width="9" style="20"/>
    <col min="10510" max="10510" width="3.125" style="20" customWidth="1"/>
    <col min="10511" max="10765" width="9" style="20"/>
    <col min="10766" max="10766" width="3.125" style="20" customWidth="1"/>
    <col min="10767" max="11021" width="9" style="20"/>
    <col min="11022" max="11022" width="3.125" style="20" customWidth="1"/>
    <col min="11023" max="11277" width="9" style="20"/>
    <col min="11278" max="11278" width="3.125" style="20" customWidth="1"/>
    <col min="11279" max="11533" width="9" style="20"/>
    <col min="11534" max="11534" width="3.125" style="20" customWidth="1"/>
    <col min="11535" max="11789" width="9" style="20"/>
    <col min="11790" max="11790" width="3.125" style="20" customWidth="1"/>
    <col min="11791" max="12045" width="9" style="20"/>
    <col min="12046" max="12046" width="3.125" style="20" customWidth="1"/>
    <col min="12047" max="12301" width="9" style="20"/>
    <col min="12302" max="12302" width="3.125" style="20" customWidth="1"/>
    <col min="12303" max="12557" width="9" style="20"/>
    <col min="12558" max="12558" width="3.125" style="20" customWidth="1"/>
    <col min="12559" max="12813" width="9" style="20"/>
    <col min="12814" max="12814" width="3.125" style="20" customWidth="1"/>
    <col min="12815" max="13069" width="9" style="20"/>
    <col min="13070" max="13070" width="3.125" style="20" customWidth="1"/>
    <col min="13071" max="13325" width="9" style="20"/>
    <col min="13326" max="13326" width="3.125" style="20" customWidth="1"/>
    <col min="13327" max="13581" width="9" style="20"/>
    <col min="13582" max="13582" width="3.125" style="20" customWidth="1"/>
    <col min="13583" max="13837" width="9" style="20"/>
    <col min="13838" max="13838" width="3.125" style="20" customWidth="1"/>
    <col min="13839" max="14093" width="9" style="20"/>
    <col min="14094" max="14094" width="3.125" style="20" customWidth="1"/>
    <col min="14095" max="14349" width="9" style="20"/>
    <col min="14350" max="14350" width="3.125" style="20" customWidth="1"/>
    <col min="14351" max="14605" width="9" style="20"/>
    <col min="14606" max="14606" width="3.125" style="20" customWidth="1"/>
    <col min="14607" max="14861" width="9" style="20"/>
    <col min="14862" max="14862" width="3.125" style="20" customWidth="1"/>
    <col min="14863" max="15117" width="9" style="20"/>
    <col min="15118" max="15118" width="3.125" style="20" customWidth="1"/>
    <col min="15119" max="15373" width="9" style="20"/>
    <col min="15374" max="15374" width="3.125" style="20" customWidth="1"/>
    <col min="15375" max="15629" width="9" style="20"/>
    <col min="15630" max="15630" width="3.125" style="20" customWidth="1"/>
    <col min="15631" max="15885" width="9" style="20"/>
    <col min="15886" max="15886" width="3.125" style="20" customWidth="1"/>
    <col min="15887" max="16141" width="9" style="20"/>
    <col min="16142" max="16142" width="3.125" style="20" customWidth="1"/>
    <col min="16143" max="16384" width="9" style="20"/>
  </cols>
  <sheetData>
    <row r="1" spans="1:14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6.5" customHeight="1">
      <c r="A3" s="21"/>
      <c r="B3" s="21"/>
      <c r="C3" s="78" t="s">
        <v>535</v>
      </c>
      <c r="D3" s="78"/>
      <c r="E3" s="78"/>
      <c r="F3" s="78"/>
      <c r="G3" s="21"/>
      <c r="H3" s="21"/>
      <c r="I3" s="21"/>
      <c r="J3" s="21"/>
      <c r="K3" s="21"/>
      <c r="L3" s="21"/>
      <c r="M3" s="21"/>
      <c r="N3" s="21"/>
    </row>
    <row r="4" spans="1:14" ht="16.5" customHeight="1">
      <c r="A4" s="21"/>
      <c r="B4" s="21"/>
      <c r="C4" s="78"/>
      <c r="D4" s="78"/>
      <c r="E4" s="78"/>
      <c r="F4" s="78"/>
      <c r="G4" s="21"/>
      <c r="H4" s="21"/>
      <c r="I4" s="21"/>
      <c r="J4" s="21"/>
      <c r="K4" s="21"/>
      <c r="L4" s="21"/>
      <c r="M4" s="21"/>
      <c r="N4" s="21"/>
    </row>
    <row r="5" spans="1:1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ht="25.5">
      <c r="A6" s="21"/>
      <c r="B6" s="22"/>
      <c r="C6" s="79" t="s">
        <v>536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</row>
    <row r="7" spans="1:14" ht="25.5">
      <c r="A7" s="21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45.75">
      <c r="A8" s="21" t="s">
        <v>442</v>
      </c>
      <c r="B8" s="80" t="s">
        <v>443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</row>
    <row r="9" spans="1:14" ht="20.25">
      <c r="A9" s="21"/>
      <c r="B9" s="21"/>
      <c r="C9" s="21"/>
      <c r="D9" s="21"/>
      <c r="E9" s="21"/>
      <c r="F9" s="21"/>
      <c r="G9" s="77"/>
      <c r="H9" s="77"/>
      <c r="I9" s="77"/>
      <c r="J9" s="77"/>
      <c r="K9" s="77"/>
      <c r="L9" s="77"/>
      <c r="M9" s="21"/>
      <c r="N9" s="21"/>
    </row>
    <row r="10" spans="1:1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.75">
      <c r="A12" s="21"/>
      <c r="B12" s="21"/>
      <c r="C12" s="21"/>
      <c r="D12" s="21"/>
      <c r="E12" s="21"/>
      <c r="F12" s="21"/>
      <c r="G12" s="21"/>
      <c r="H12" s="24"/>
      <c r="I12" s="21"/>
      <c r="J12" s="21"/>
      <c r="K12" s="21"/>
      <c r="L12" s="21"/>
      <c r="M12" s="21"/>
      <c r="N12" s="21"/>
    </row>
    <row r="13" spans="1:14" ht="18.75">
      <c r="A13" s="21"/>
      <c r="B13" s="21"/>
      <c r="C13" s="21"/>
      <c r="D13" s="21"/>
      <c r="E13" s="21"/>
      <c r="F13" s="21"/>
      <c r="G13" s="21"/>
      <c r="H13" s="24"/>
      <c r="I13" s="21"/>
      <c r="J13" s="21"/>
      <c r="K13" s="21"/>
      <c r="L13" s="21"/>
      <c r="M13" s="21"/>
      <c r="N13" s="21"/>
    </row>
    <row r="14" spans="1:14" ht="18.75">
      <c r="A14" s="21"/>
      <c r="B14" s="21"/>
      <c r="C14" s="21"/>
      <c r="D14" s="21"/>
      <c r="E14" s="21"/>
      <c r="F14" s="21"/>
      <c r="G14" s="21"/>
      <c r="H14" s="24"/>
      <c r="I14" s="21"/>
      <c r="J14" s="21"/>
      <c r="K14" s="21"/>
      <c r="L14" s="21"/>
      <c r="M14" s="21"/>
      <c r="N14" s="21"/>
    </row>
    <row r="15" spans="1:1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ht="25.5">
      <c r="A23" s="21"/>
      <c r="B23" s="76" t="s">
        <v>537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</row>
    <row r="24" spans="1:1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6.5" customHeight="1">
      <c r="A27" s="21"/>
      <c r="B27" s="21"/>
      <c r="C27" s="78" t="s">
        <v>535</v>
      </c>
      <c r="D27" s="78"/>
      <c r="E27" s="78"/>
      <c r="F27" s="78"/>
      <c r="G27" s="21"/>
      <c r="H27" s="21"/>
      <c r="I27" s="21"/>
      <c r="J27" s="21"/>
      <c r="K27" s="21"/>
      <c r="L27" s="21"/>
      <c r="M27" s="21"/>
      <c r="N27" s="21"/>
    </row>
    <row r="28" spans="1:14" ht="16.5" customHeight="1">
      <c r="A28" s="21"/>
      <c r="B28" s="21"/>
      <c r="C28" s="78"/>
      <c r="D28" s="78"/>
      <c r="E28" s="78"/>
      <c r="F28" s="78"/>
      <c r="G28" s="21"/>
      <c r="H28" s="21"/>
      <c r="I28" s="21"/>
      <c r="J28" s="21"/>
      <c r="K28" s="21"/>
      <c r="L28" s="21"/>
      <c r="M28" s="21"/>
      <c r="N28" s="21"/>
    </row>
    <row r="29" spans="1:14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25.5">
      <c r="A30" s="21"/>
      <c r="B30" s="22"/>
      <c r="C30" s="79" t="s">
        <v>536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 spans="1:14" ht="25.5">
      <c r="A31" s="2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45.75">
      <c r="A32" s="21" t="s">
        <v>442</v>
      </c>
      <c r="B32" s="80" t="s">
        <v>444</v>
      </c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</row>
    <row r="33" spans="1:14" ht="20.25">
      <c r="A33" s="21"/>
      <c r="B33" s="21"/>
      <c r="C33" s="21"/>
      <c r="D33" s="21"/>
      <c r="E33" s="21"/>
      <c r="F33" s="21"/>
      <c r="G33" s="77"/>
      <c r="H33" s="77"/>
      <c r="I33" s="77"/>
      <c r="J33" s="77"/>
      <c r="K33" s="77"/>
      <c r="L33" s="77"/>
      <c r="M33" s="21"/>
      <c r="N33" s="21"/>
    </row>
    <row r="34" spans="1:1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ht="18.75">
      <c r="A36" s="21"/>
      <c r="B36" s="21"/>
      <c r="C36" s="21"/>
      <c r="D36" s="21"/>
      <c r="E36" s="21"/>
      <c r="F36" s="21"/>
      <c r="G36" s="21"/>
      <c r="H36" s="24"/>
      <c r="I36" s="21"/>
      <c r="J36" s="21"/>
      <c r="K36" s="21"/>
      <c r="L36" s="21"/>
      <c r="M36" s="21"/>
      <c r="N36" s="21"/>
    </row>
    <row r="37" spans="1:14" ht="18.75">
      <c r="A37" s="21"/>
      <c r="B37" s="21"/>
      <c r="C37" s="21"/>
      <c r="D37" s="21"/>
      <c r="E37" s="21"/>
      <c r="F37" s="21"/>
      <c r="G37" s="21"/>
      <c r="H37" s="24"/>
      <c r="I37" s="21"/>
      <c r="J37" s="21"/>
      <c r="K37" s="21"/>
      <c r="L37" s="21"/>
      <c r="M37" s="21"/>
      <c r="N37" s="21"/>
    </row>
    <row r="38" spans="1:14" ht="18.75">
      <c r="A38" s="21"/>
      <c r="B38" s="21"/>
      <c r="C38" s="21"/>
      <c r="D38" s="21"/>
      <c r="E38" s="21"/>
      <c r="F38" s="21"/>
      <c r="G38" s="21"/>
      <c r="H38" s="24"/>
      <c r="I38" s="21"/>
      <c r="J38" s="21"/>
      <c r="K38" s="21"/>
      <c r="L38" s="21"/>
      <c r="M38" s="21"/>
      <c r="N38" s="21"/>
    </row>
    <row r="39" spans="1:14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ht="25.5">
      <c r="A47" s="21"/>
      <c r="B47" s="76" t="s">
        <v>537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</row>
    <row r="48" spans="1:14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>
      <c r="A51" s="21"/>
      <c r="B51" s="21"/>
      <c r="C51" s="78"/>
      <c r="D51" s="78"/>
      <c r="E51" s="78"/>
      <c r="F51" s="78"/>
      <c r="G51" s="21"/>
      <c r="H51" s="21"/>
      <c r="I51" s="21"/>
      <c r="J51" s="21"/>
      <c r="K51" s="21"/>
      <c r="L51" s="21"/>
      <c r="M51" s="21"/>
      <c r="N51" s="21"/>
    </row>
    <row r="52" spans="1:14">
      <c r="A52" s="21"/>
      <c r="B52" s="21"/>
      <c r="C52" s="78"/>
      <c r="D52" s="78"/>
      <c r="E52" s="78"/>
      <c r="F52" s="78"/>
      <c r="G52" s="21"/>
      <c r="H52" s="21"/>
      <c r="I52" s="21"/>
      <c r="J52" s="21"/>
      <c r="K52" s="21"/>
      <c r="L52" s="21"/>
      <c r="M52" s="21"/>
      <c r="N52" s="21"/>
    </row>
    <row r="53" spans="1:14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ht="25.5">
      <c r="A54" s="21"/>
      <c r="B54" s="22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</row>
    <row r="55" spans="1:14" ht="25.5">
      <c r="A55" s="21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spans="1:14" ht="45.75">
      <c r="A56" s="21" t="s">
        <v>442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</row>
    <row r="57" spans="1:14" ht="20.25">
      <c r="A57" s="21"/>
      <c r="B57" s="21"/>
      <c r="C57" s="21"/>
      <c r="D57" s="21"/>
      <c r="E57" s="21"/>
      <c r="F57" s="21"/>
      <c r="G57" s="77"/>
      <c r="H57" s="77"/>
      <c r="I57" s="77"/>
      <c r="J57" s="77"/>
      <c r="K57" s="77"/>
      <c r="L57" s="77"/>
      <c r="M57" s="21"/>
      <c r="N57" s="21"/>
    </row>
    <row r="58" spans="1:14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18.75">
      <c r="A60" s="21"/>
      <c r="B60" s="21"/>
      <c r="C60" s="21"/>
      <c r="D60" s="21"/>
      <c r="E60" s="21"/>
      <c r="F60" s="21"/>
      <c r="G60" s="21"/>
      <c r="H60" s="24"/>
      <c r="I60" s="21"/>
      <c r="J60" s="21"/>
      <c r="K60" s="21"/>
      <c r="L60" s="21"/>
      <c r="M60" s="21"/>
      <c r="N60" s="21"/>
    </row>
    <row r="61" spans="1:14" ht="18.75">
      <c r="A61" s="21"/>
      <c r="B61" s="21"/>
      <c r="C61" s="21"/>
      <c r="D61" s="21"/>
      <c r="E61" s="21"/>
      <c r="F61" s="21"/>
      <c r="G61" s="21"/>
      <c r="H61" s="24"/>
      <c r="I61" s="21"/>
      <c r="J61" s="21"/>
      <c r="K61" s="21"/>
      <c r="L61" s="21"/>
      <c r="M61" s="21"/>
      <c r="N61" s="21"/>
    </row>
    <row r="62" spans="1:14" ht="18.75">
      <c r="A62" s="21"/>
      <c r="B62" s="21"/>
      <c r="C62" s="21"/>
      <c r="D62" s="21"/>
      <c r="E62" s="21"/>
      <c r="F62" s="21"/>
      <c r="G62" s="21"/>
      <c r="H62" s="24"/>
      <c r="I62" s="21"/>
      <c r="J62" s="21"/>
      <c r="K62" s="21"/>
      <c r="L62" s="21"/>
      <c r="M62" s="21"/>
      <c r="N62" s="21"/>
    </row>
    <row r="63" spans="1:14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ht="25.5">
      <c r="A71" s="21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</row>
    <row r="72" spans="1:14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>
      <c r="A74" s="21"/>
      <c r="B74" s="21"/>
      <c r="C74" s="78"/>
      <c r="D74" s="78"/>
      <c r="E74" s="78"/>
      <c r="F74" s="78"/>
      <c r="G74" s="21"/>
      <c r="H74" s="21"/>
      <c r="I74" s="21"/>
      <c r="J74" s="21"/>
      <c r="K74" s="21"/>
      <c r="L74" s="21"/>
      <c r="M74" s="21"/>
      <c r="N74" s="21"/>
    </row>
    <row r="75" spans="1:14">
      <c r="A75" s="21"/>
      <c r="B75" s="21"/>
      <c r="C75" s="78"/>
      <c r="D75" s="78"/>
      <c r="E75" s="78"/>
      <c r="F75" s="78"/>
      <c r="G75" s="21"/>
      <c r="H75" s="21"/>
      <c r="I75" s="21"/>
      <c r="J75" s="21"/>
      <c r="K75" s="21"/>
      <c r="L75" s="21"/>
      <c r="M75" s="21"/>
      <c r="N75" s="21"/>
    </row>
    <row r="76" spans="1:14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 ht="25.5">
      <c r="A77" s="21"/>
      <c r="B77" s="22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spans="1:14" ht="25.5">
      <c r="A78" s="2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spans="1:14" ht="45.75">
      <c r="A79" s="21" t="s">
        <v>442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</row>
    <row r="80" spans="1:14" ht="20.25">
      <c r="A80" s="21"/>
      <c r="B80" s="21"/>
      <c r="C80" s="21"/>
      <c r="D80" s="21"/>
      <c r="E80" s="21"/>
      <c r="F80" s="21"/>
      <c r="G80" s="77"/>
      <c r="H80" s="77"/>
      <c r="I80" s="77"/>
      <c r="J80" s="77"/>
      <c r="K80" s="77"/>
      <c r="L80" s="77"/>
      <c r="M80" s="21"/>
      <c r="N80" s="21"/>
    </row>
    <row r="81" spans="1:14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 spans="1:14" ht="18.75">
      <c r="A83" s="21"/>
      <c r="B83" s="21"/>
      <c r="C83" s="21"/>
      <c r="D83" s="21"/>
      <c r="E83" s="21"/>
      <c r="F83" s="21"/>
      <c r="G83" s="21"/>
      <c r="H83" s="24"/>
      <c r="I83" s="21"/>
      <c r="J83" s="21"/>
      <c r="K83" s="21"/>
      <c r="L83" s="21"/>
      <c r="M83" s="21"/>
      <c r="N83" s="21"/>
    </row>
    <row r="84" spans="1:14" ht="18.75">
      <c r="A84" s="21"/>
      <c r="B84" s="21"/>
      <c r="C84" s="21"/>
      <c r="D84" s="21"/>
      <c r="E84" s="21"/>
      <c r="F84" s="21"/>
      <c r="G84" s="21"/>
      <c r="H84" s="24"/>
      <c r="I84" s="21"/>
      <c r="J84" s="21"/>
      <c r="K84" s="21"/>
      <c r="L84" s="21"/>
      <c r="M84" s="21"/>
      <c r="N84" s="21"/>
    </row>
    <row r="85" spans="1:14" ht="18.75">
      <c r="A85" s="21"/>
      <c r="B85" s="21"/>
      <c r="C85" s="21"/>
      <c r="D85" s="21"/>
      <c r="E85" s="21"/>
      <c r="F85" s="21"/>
      <c r="G85" s="21"/>
      <c r="H85" s="24"/>
      <c r="I85" s="21"/>
      <c r="J85" s="21"/>
      <c r="K85" s="21"/>
      <c r="L85" s="21"/>
      <c r="M85" s="21"/>
      <c r="N85" s="21"/>
    </row>
    <row r="86" spans="1:14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25.5">
      <c r="A94" s="21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</row>
    <row r="95" spans="1:14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</sheetData>
  <mergeCells count="20">
    <mergeCell ref="C27:F28"/>
    <mergeCell ref="C3:F4"/>
    <mergeCell ref="C6:N6"/>
    <mergeCell ref="B8:N8"/>
    <mergeCell ref="G9:L9"/>
    <mergeCell ref="B23:N23"/>
    <mergeCell ref="B56:N56"/>
    <mergeCell ref="C30:N30"/>
    <mergeCell ref="B32:N32"/>
    <mergeCell ref="G33:L33"/>
    <mergeCell ref="B47:N47"/>
    <mergeCell ref="C51:F52"/>
    <mergeCell ref="C54:N54"/>
    <mergeCell ref="B94:N94"/>
    <mergeCell ref="G57:L57"/>
    <mergeCell ref="B71:N71"/>
    <mergeCell ref="C74:F75"/>
    <mergeCell ref="C77:N77"/>
    <mergeCell ref="B79:N79"/>
    <mergeCell ref="G80:L8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rowBreaks count="2" manualBreakCount="2">
    <brk id="25" max="13" man="1"/>
    <brk id="5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28"/>
  <sheetViews>
    <sheetView tabSelected="1" view="pageBreakPreview" topLeftCell="B1" zoomScale="90" zoomScaleSheetLayoutView="90" workbookViewId="0">
      <selection activeCell="E4" sqref="E4"/>
    </sheetView>
  </sheetViews>
  <sheetFormatPr defaultRowHeight="16.5"/>
  <cols>
    <col min="1" max="1" width="0" style="20" hidden="1" customWidth="1"/>
    <col min="2" max="3" width="4.625" style="20" customWidth="1"/>
    <col min="4" max="4" width="35.625" style="20" customWidth="1"/>
    <col min="5" max="5" width="25.625" style="20" customWidth="1"/>
    <col min="6" max="6" width="60.625" style="20" customWidth="1"/>
    <col min="7" max="7" width="30.625" style="20" customWidth="1"/>
    <col min="8" max="8" width="30.5" style="20" customWidth="1"/>
    <col min="9" max="9" width="10.125" style="20" customWidth="1"/>
    <col min="10" max="10" width="11.625" style="20" customWidth="1"/>
    <col min="11" max="256" width="9" style="20"/>
    <col min="257" max="257" width="0" style="20" hidden="1" customWidth="1"/>
    <col min="258" max="259" width="4.625" style="20" customWidth="1"/>
    <col min="260" max="260" width="35.625" style="20" customWidth="1"/>
    <col min="261" max="261" width="25.625" style="20" customWidth="1"/>
    <col min="262" max="262" width="60.625" style="20" customWidth="1"/>
    <col min="263" max="263" width="30.625" style="20" customWidth="1"/>
    <col min="264" max="512" width="9" style="20"/>
    <col min="513" max="513" width="0" style="20" hidden="1" customWidth="1"/>
    <col min="514" max="515" width="4.625" style="20" customWidth="1"/>
    <col min="516" max="516" width="35.625" style="20" customWidth="1"/>
    <col min="517" max="517" width="25.625" style="20" customWidth="1"/>
    <col min="518" max="518" width="60.625" style="20" customWidth="1"/>
    <col min="519" max="519" width="30.625" style="20" customWidth="1"/>
    <col min="520" max="768" width="9" style="20"/>
    <col min="769" max="769" width="0" style="20" hidden="1" customWidth="1"/>
    <col min="770" max="771" width="4.625" style="20" customWidth="1"/>
    <col min="772" max="772" width="35.625" style="20" customWidth="1"/>
    <col min="773" max="773" width="25.625" style="20" customWidth="1"/>
    <col min="774" max="774" width="60.625" style="20" customWidth="1"/>
    <col min="775" max="775" width="30.625" style="20" customWidth="1"/>
    <col min="776" max="1024" width="9" style="20"/>
    <col min="1025" max="1025" width="0" style="20" hidden="1" customWidth="1"/>
    <col min="1026" max="1027" width="4.625" style="20" customWidth="1"/>
    <col min="1028" max="1028" width="35.625" style="20" customWidth="1"/>
    <col min="1029" max="1029" width="25.625" style="20" customWidth="1"/>
    <col min="1030" max="1030" width="60.625" style="20" customWidth="1"/>
    <col min="1031" max="1031" width="30.625" style="20" customWidth="1"/>
    <col min="1032" max="1280" width="9" style="20"/>
    <col min="1281" max="1281" width="0" style="20" hidden="1" customWidth="1"/>
    <col min="1282" max="1283" width="4.625" style="20" customWidth="1"/>
    <col min="1284" max="1284" width="35.625" style="20" customWidth="1"/>
    <col min="1285" max="1285" width="25.625" style="20" customWidth="1"/>
    <col min="1286" max="1286" width="60.625" style="20" customWidth="1"/>
    <col min="1287" max="1287" width="30.625" style="20" customWidth="1"/>
    <col min="1288" max="1536" width="9" style="20"/>
    <col min="1537" max="1537" width="0" style="20" hidden="1" customWidth="1"/>
    <col min="1538" max="1539" width="4.625" style="20" customWidth="1"/>
    <col min="1540" max="1540" width="35.625" style="20" customWidth="1"/>
    <col min="1541" max="1541" width="25.625" style="20" customWidth="1"/>
    <col min="1542" max="1542" width="60.625" style="20" customWidth="1"/>
    <col min="1543" max="1543" width="30.625" style="20" customWidth="1"/>
    <col min="1544" max="1792" width="9" style="20"/>
    <col min="1793" max="1793" width="0" style="20" hidden="1" customWidth="1"/>
    <col min="1794" max="1795" width="4.625" style="20" customWidth="1"/>
    <col min="1796" max="1796" width="35.625" style="20" customWidth="1"/>
    <col min="1797" max="1797" width="25.625" style="20" customWidth="1"/>
    <col min="1798" max="1798" width="60.625" style="20" customWidth="1"/>
    <col min="1799" max="1799" width="30.625" style="20" customWidth="1"/>
    <col min="1800" max="2048" width="9" style="20"/>
    <col min="2049" max="2049" width="0" style="20" hidden="1" customWidth="1"/>
    <col min="2050" max="2051" width="4.625" style="20" customWidth="1"/>
    <col min="2052" max="2052" width="35.625" style="20" customWidth="1"/>
    <col min="2053" max="2053" width="25.625" style="20" customWidth="1"/>
    <col min="2054" max="2054" width="60.625" style="20" customWidth="1"/>
    <col min="2055" max="2055" width="30.625" style="20" customWidth="1"/>
    <col min="2056" max="2304" width="9" style="20"/>
    <col min="2305" max="2305" width="0" style="20" hidden="1" customWidth="1"/>
    <col min="2306" max="2307" width="4.625" style="20" customWidth="1"/>
    <col min="2308" max="2308" width="35.625" style="20" customWidth="1"/>
    <col min="2309" max="2309" width="25.625" style="20" customWidth="1"/>
    <col min="2310" max="2310" width="60.625" style="20" customWidth="1"/>
    <col min="2311" max="2311" width="30.625" style="20" customWidth="1"/>
    <col min="2312" max="2560" width="9" style="20"/>
    <col min="2561" max="2561" width="0" style="20" hidden="1" customWidth="1"/>
    <col min="2562" max="2563" width="4.625" style="20" customWidth="1"/>
    <col min="2564" max="2564" width="35.625" style="20" customWidth="1"/>
    <col min="2565" max="2565" width="25.625" style="20" customWidth="1"/>
    <col min="2566" max="2566" width="60.625" style="20" customWidth="1"/>
    <col min="2567" max="2567" width="30.625" style="20" customWidth="1"/>
    <col min="2568" max="2816" width="9" style="20"/>
    <col min="2817" max="2817" width="0" style="20" hidden="1" customWidth="1"/>
    <col min="2818" max="2819" width="4.625" style="20" customWidth="1"/>
    <col min="2820" max="2820" width="35.625" style="20" customWidth="1"/>
    <col min="2821" max="2821" width="25.625" style="20" customWidth="1"/>
    <col min="2822" max="2822" width="60.625" style="20" customWidth="1"/>
    <col min="2823" max="2823" width="30.625" style="20" customWidth="1"/>
    <col min="2824" max="3072" width="9" style="20"/>
    <col min="3073" max="3073" width="0" style="20" hidden="1" customWidth="1"/>
    <col min="3074" max="3075" width="4.625" style="20" customWidth="1"/>
    <col min="3076" max="3076" width="35.625" style="20" customWidth="1"/>
    <col min="3077" max="3077" width="25.625" style="20" customWidth="1"/>
    <col min="3078" max="3078" width="60.625" style="20" customWidth="1"/>
    <col min="3079" max="3079" width="30.625" style="20" customWidth="1"/>
    <col min="3080" max="3328" width="9" style="20"/>
    <col min="3329" max="3329" width="0" style="20" hidden="1" customWidth="1"/>
    <col min="3330" max="3331" width="4.625" style="20" customWidth="1"/>
    <col min="3332" max="3332" width="35.625" style="20" customWidth="1"/>
    <col min="3333" max="3333" width="25.625" style="20" customWidth="1"/>
    <col min="3334" max="3334" width="60.625" style="20" customWidth="1"/>
    <col min="3335" max="3335" width="30.625" style="20" customWidth="1"/>
    <col min="3336" max="3584" width="9" style="20"/>
    <col min="3585" max="3585" width="0" style="20" hidden="1" customWidth="1"/>
    <col min="3586" max="3587" width="4.625" style="20" customWidth="1"/>
    <col min="3588" max="3588" width="35.625" style="20" customWidth="1"/>
    <col min="3589" max="3589" width="25.625" style="20" customWidth="1"/>
    <col min="3590" max="3590" width="60.625" style="20" customWidth="1"/>
    <col min="3591" max="3591" width="30.625" style="20" customWidth="1"/>
    <col min="3592" max="3840" width="9" style="20"/>
    <col min="3841" max="3841" width="0" style="20" hidden="1" customWidth="1"/>
    <col min="3842" max="3843" width="4.625" style="20" customWidth="1"/>
    <col min="3844" max="3844" width="35.625" style="20" customWidth="1"/>
    <col min="3845" max="3845" width="25.625" style="20" customWidth="1"/>
    <col min="3846" max="3846" width="60.625" style="20" customWidth="1"/>
    <col min="3847" max="3847" width="30.625" style="20" customWidth="1"/>
    <col min="3848" max="4096" width="9" style="20"/>
    <col min="4097" max="4097" width="0" style="20" hidden="1" customWidth="1"/>
    <col min="4098" max="4099" width="4.625" style="20" customWidth="1"/>
    <col min="4100" max="4100" width="35.625" style="20" customWidth="1"/>
    <col min="4101" max="4101" width="25.625" style="20" customWidth="1"/>
    <col min="4102" max="4102" width="60.625" style="20" customWidth="1"/>
    <col min="4103" max="4103" width="30.625" style="20" customWidth="1"/>
    <col min="4104" max="4352" width="9" style="20"/>
    <col min="4353" max="4353" width="0" style="20" hidden="1" customWidth="1"/>
    <col min="4354" max="4355" width="4.625" style="20" customWidth="1"/>
    <col min="4356" max="4356" width="35.625" style="20" customWidth="1"/>
    <col min="4357" max="4357" width="25.625" style="20" customWidth="1"/>
    <col min="4358" max="4358" width="60.625" style="20" customWidth="1"/>
    <col min="4359" max="4359" width="30.625" style="20" customWidth="1"/>
    <col min="4360" max="4608" width="9" style="20"/>
    <col min="4609" max="4609" width="0" style="20" hidden="1" customWidth="1"/>
    <col min="4610" max="4611" width="4.625" style="20" customWidth="1"/>
    <col min="4612" max="4612" width="35.625" style="20" customWidth="1"/>
    <col min="4613" max="4613" width="25.625" style="20" customWidth="1"/>
    <col min="4614" max="4614" width="60.625" style="20" customWidth="1"/>
    <col min="4615" max="4615" width="30.625" style="20" customWidth="1"/>
    <col min="4616" max="4864" width="9" style="20"/>
    <col min="4865" max="4865" width="0" style="20" hidden="1" customWidth="1"/>
    <col min="4866" max="4867" width="4.625" style="20" customWidth="1"/>
    <col min="4868" max="4868" width="35.625" style="20" customWidth="1"/>
    <col min="4869" max="4869" width="25.625" style="20" customWidth="1"/>
    <col min="4870" max="4870" width="60.625" style="20" customWidth="1"/>
    <col min="4871" max="4871" width="30.625" style="20" customWidth="1"/>
    <col min="4872" max="5120" width="9" style="20"/>
    <col min="5121" max="5121" width="0" style="20" hidden="1" customWidth="1"/>
    <col min="5122" max="5123" width="4.625" style="20" customWidth="1"/>
    <col min="5124" max="5124" width="35.625" style="20" customWidth="1"/>
    <col min="5125" max="5125" width="25.625" style="20" customWidth="1"/>
    <col min="5126" max="5126" width="60.625" style="20" customWidth="1"/>
    <col min="5127" max="5127" width="30.625" style="20" customWidth="1"/>
    <col min="5128" max="5376" width="9" style="20"/>
    <col min="5377" max="5377" width="0" style="20" hidden="1" customWidth="1"/>
    <col min="5378" max="5379" width="4.625" style="20" customWidth="1"/>
    <col min="5380" max="5380" width="35.625" style="20" customWidth="1"/>
    <col min="5381" max="5381" width="25.625" style="20" customWidth="1"/>
    <col min="5382" max="5382" width="60.625" style="20" customWidth="1"/>
    <col min="5383" max="5383" width="30.625" style="20" customWidth="1"/>
    <col min="5384" max="5632" width="9" style="20"/>
    <col min="5633" max="5633" width="0" style="20" hidden="1" customWidth="1"/>
    <col min="5634" max="5635" width="4.625" style="20" customWidth="1"/>
    <col min="5636" max="5636" width="35.625" style="20" customWidth="1"/>
    <col min="5637" max="5637" width="25.625" style="20" customWidth="1"/>
    <col min="5638" max="5638" width="60.625" style="20" customWidth="1"/>
    <col min="5639" max="5639" width="30.625" style="20" customWidth="1"/>
    <col min="5640" max="5888" width="9" style="20"/>
    <col min="5889" max="5889" width="0" style="20" hidden="1" customWidth="1"/>
    <col min="5890" max="5891" width="4.625" style="20" customWidth="1"/>
    <col min="5892" max="5892" width="35.625" style="20" customWidth="1"/>
    <col min="5893" max="5893" width="25.625" style="20" customWidth="1"/>
    <col min="5894" max="5894" width="60.625" style="20" customWidth="1"/>
    <col min="5895" max="5895" width="30.625" style="20" customWidth="1"/>
    <col min="5896" max="6144" width="9" style="20"/>
    <col min="6145" max="6145" width="0" style="20" hidden="1" customWidth="1"/>
    <col min="6146" max="6147" width="4.625" style="20" customWidth="1"/>
    <col min="6148" max="6148" width="35.625" style="20" customWidth="1"/>
    <col min="6149" max="6149" width="25.625" style="20" customWidth="1"/>
    <col min="6150" max="6150" width="60.625" style="20" customWidth="1"/>
    <col min="6151" max="6151" width="30.625" style="20" customWidth="1"/>
    <col min="6152" max="6400" width="9" style="20"/>
    <col min="6401" max="6401" width="0" style="20" hidden="1" customWidth="1"/>
    <col min="6402" max="6403" width="4.625" style="20" customWidth="1"/>
    <col min="6404" max="6404" width="35.625" style="20" customWidth="1"/>
    <col min="6405" max="6405" width="25.625" style="20" customWidth="1"/>
    <col min="6406" max="6406" width="60.625" style="20" customWidth="1"/>
    <col min="6407" max="6407" width="30.625" style="20" customWidth="1"/>
    <col min="6408" max="6656" width="9" style="20"/>
    <col min="6657" max="6657" width="0" style="20" hidden="1" customWidth="1"/>
    <col min="6658" max="6659" width="4.625" style="20" customWidth="1"/>
    <col min="6660" max="6660" width="35.625" style="20" customWidth="1"/>
    <col min="6661" max="6661" width="25.625" style="20" customWidth="1"/>
    <col min="6662" max="6662" width="60.625" style="20" customWidth="1"/>
    <col min="6663" max="6663" width="30.625" style="20" customWidth="1"/>
    <col min="6664" max="6912" width="9" style="20"/>
    <col min="6913" max="6913" width="0" style="20" hidden="1" customWidth="1"/>
    <col min="6914" max="6915" width="4.625" style="20" customWidth="1"/>
    <col min="6916" max="6916" width="35.625" style="20" customWidth="1"/>
    <col min="6917" max="6917" width="25.625" style="20" customWidth="1"/>
    <col min="6918" max="6918" width="60.625" style="20" customWidth="1"/>
    <col min="6919" max="6919" width="30.625" style="20" customWidth="1"/>
    <col min="6920" max="7168" width="9" style="20"/>
    <col min="7169" max="7169" width="0" style="20" hidden="1" customWidth="1"/>
    <col min="7170" max="7171" width="4.625" style="20" customWidth="1"/>
    <col min="7172" max="7172" width="35.625" style="20" customWidth="1"/>
    <col min="7173" max="7173" width="25.625" style="20" customWidth="1"/>
    <col min="7174" max="7174" width="60.625" style="20" customWidth="1"/>
    <col min="7175" max="7175" width="30.625" style="20" customWidth="1"/>
    <col min="7176" max="7424" width="9" style="20"/>
    <col min="7425" max="7425" width="0" style="20" hidden="1" customWidth="1"/>
    <col min="7426" max="7427" width="4.625" style="20" customWidth="1"/>
    <col min="7428" max="7428" width="35.625" style="20" customWidth="1"/>
    <col min="7429" max="7429" width="25.625" style="20" customWidth="1"/>
    <col min="7430" max="7430" width="60.625" style="20" customWidth="1"/>
    <col min="7431" max="7431" width="30.625" style="20" customWidth="1"/>
    <col min="7432" max="7680" width="9" style="20"/>
    <col min="7681" max="7681" width="0" style="20" hidden="1" customWidth="1"/>
    <col min="7682" max="7683" width="4.625" style="20" customWidth="1"/>
    <col min="7684" max="7684" width="35.625" style="20" customWidth="1"/>
    <col min="7685" max="7685" width="25.625" style="20" customWidth="1"/>
    <col min="7686" max="7686" width="60.625" style="20" customWidth="1"/>
    <col min="7687" max="7687" width="30.625" style="20" customWidth="1"/>
    <col min="7688" max="7936" width="9" style="20"/>
    <col min="7937" max="7937" width="0" style="20" hidden="1" customWidth="1"/>
    <col min="7938" max="7939" width="4.625" style="20" customWidth="1"/>
    <col min="7940" max="7940" width="35.625" style="20" customWidth="1"/>
    <col min="7941" max="7941" width="25.625" style="20" customWidth="1"/>
    <col min="7942" max="7942" width="60.625" style="20" customWidth="1"/>
    <col min="7943" max="7943" width="30.625" style="20" customWidth="1"/>
    <col min="7944" max="8192" width="9" style="20"/>
    <col min="8193" max="8193" width="0" style="20" hidden="1" customWidth="1"/>
    <col min="8194" max="8195" width="4.625" style="20" customWidth="1"/>
    <col min="8196" max="8196" width="35.625" style="20" customWidth="1"/>
    <col min="8197" max="8197" width="25.625" style="20" customWidth="1"/>
    <col min="8198" max="8198" width="60.625" style="20" customWidth="1"/>
    <col min="8199" max="8199" width="30.625" style="20" customWidth="1"/>
    <col min="8200" max="8448" width="9" style="20"/>
    <col min="8449" max="8449" width="0" style="20" hidden="1" customWidth="1"/>
    <col min="8450" max="8451" width="4.625" style="20" customWidth="1"/>
    <col min="8452" max="8452" width="35.625" style="20" customWidth="1"/>
    <col min="8453" max="8453" width="25.625" style="20" customWidth="1"/>
    <col min="8454" max="8454" width="60.625" style="20" customWidth="1"/>
    <col min="8455" max="8455" width="30.625" style="20" customWidth="1"/>
    <col min="8456" max="8704" width="9" style="20"/>
    <col min="8705" max="8705" width="0" style="20" hidden="1" customWidth="1"/>
    <col min="8706" max="8707" width="4.625" style="20" customWidth="1"/>
    <col min="8708" max="8708" width="35.625" style="20" customWidth="1"/>
    <col min="8709" max="8709" width="25.625" style="20" customWidth="1"/>
    <col min="8710" max="8710" width="60.625" style="20" customWidth="1"/>
    <col min="8711" max="8711" width="30.625" style="20" customWidth="1"/>
    <col min="8712" max="8960" width="9" style="20"/>
    <col min="8961" max="8961" width="0" style="20" hidden="1" customWidth="1"/>
    <col min="8962" max="8963" width="4.625" style="20" customWidth="1"/>
    <col min="8964" max="8964" width="35.625" style="20" customWidth="1"/>
    <col min="8965" max="8965" width="25.625" style="20" customWidth="1"/>
    <col min="8966" max="8966" width="60.625" style="20" customWidth="1"/>
    <col min="8967" max="8967" width="30.625" style="20" customWidth="1"/>
    <col min="8968" max="9216" width="9" style="20"/>
    <col min="9217" max="9217" width="0" style="20" hidden="1" customWidth="1"/>
    <col min="9218" max="9219" width="4.625" style="20" customWidth="1"/>
    <col min="9220" max="9220" width="35.625" style="20" customWidth="1"/>
    <col min="9221" max="9221" width="25.625" style="20" customWidth="1"/>
    <col min="9222" max="9222" width="60.625" style="20" customWidth="1"/>
    <col min="9223" max="9223" width="30.625" style="20" customWidth="1"/>
    <col min="9224" max="9472" width="9" style="20"/>
    <col min="9473" max="9473" width="0" style="20" hidden="1" customWidth="1"/>
    <col min="9474" max="9475" width="4.625" style="20" customWidth="1"/>
    <col min="9476" max="9476" width="35.625" style="20" customWidth="1"/>
    <col min="9477" max="9477" width="25.625" style="20" customWidth="1"/>
    <col min="9478" max="9478" width="60.625" style="20" customWidth="1"/>
    <col min="9479" max="9479" width="30.625" style="20" customWidth="1"/>
    <col min="9480" max="9728" width="9" style="20"/>
    <col min="9729" max="9729" width="0" style="20" hidden="1" customWidth="1"/>
    <col min="9730" max="9731" width="4.625" style="20" customWidth="1"/>
    <col min="9732" max="9732" width="35.625" style="20" customWidth="1"/>
    <col min="9733" max="9733" width="25.625" style="20" customWidth="1"/>
    <col min="9734" max="9734" width="60.625" style="20" customWidth="1"/>
    <col min="9735" max="9735" width="30.625" style="20" customWidth="1"/>
    <col min="9736" max="9984" width="9" style="20"/>
    <col min="9985" max="9985" width="0" style="20" hidden="1" customWidth="1"/>
    <col min="9986" max="9987" width="4.625" style="20" customWidth="1"/>
    <col min="9988" max="9988" width="35.625" style="20" customWidth="1"/>
    <col min="9989" max="9989" width="25.625" style="20" customWidth="1"/>
    <col min="9990" max="9990" width="60.625" style="20" customWidth="1"/>
    <col min="9991" max="9991" width="30.625" style="20" customWidth="1"/>
    <col min="9992" max="10240" width="9" style="20"/>
    <col min="10241" max="10241" width="0" style="20" hidden="1" customWidth="1"/>
    <col min="10242" max="10243" width="4.625" style="20" customWidth="1"/>
    <col min="10244" max="10244" width="35.625" style="20" customWidth="1"/>
    <col min="10245" max="10245" width="25.625" style="20" customWidth="1"/>
    <col min="10246" max="10246" width="60.625" style="20" customWidth="1"/>
    <col min="10247" max="10247" width="30.625" style="20" customWidth="1"/>
    <col min="10248" max="10496" width="9" style="20"/>
    <col min="10497" max="10497" width="0" style="20" hidden="1" customWidth="1"/>
    <col min="10498" max="10499" width="4.625" style="20" customWidth="1"/>
    <col min="10500" max="10500" width="35.625" style="20" customWidth="1"/>
    <col min="10501" max="10501" width="25.625" style="20" customWidth="1"/>
    <col min="10502" max="10502" width="60.625" style="20" customWidth="1"/>
    <col min="10503" max="10503" width="30.625" style="20" customWidth="1"/>
    <col min="10504" max="10752" width="9" style="20"/>
    <col min="10753" max="10753" width="0" style="20" hidden="1" customWidth="1"/>
    <col min="10754" max="10755" width="4.625" style="20" customWidth="1"/>
    <col min="10756" max="10756" width="35.625" style="20" customWidth="1"/>
    <col min="10757" max="10757" width="25.625" style="20" customWidth="1"/>
    <col min="10758" max="10758" width="60.625" style="20" customWidth="1"/>
    <col min="10759" max="10759" width="30.625" style="20" customWidth="1"/>
    <col min="10760" max="11008" width="9" style="20"/>
    <col min="11009" max="11009" width="0" style="20" hidden="1" customWidth="1"/>
    <col min="11010" max="11011" width="4.625" style="20" customWidth="1"/>
    <col min="11012" max="11012" width="35.625" style="20" customWidth="1"/>
    <col min="11013" max="11013" width="25.625" style="20" customWidth="1"/>
    <col min="11014" max="11014" width="60.625" style="20" customWidth="1"/>
    <col min="11015" max="11015" width="30.625" style="20" customWidth="1"/>
    <col min="11016" max="11264" width="9" style="20"/>
    <col min="11265" max="11265" width="0" style="20" hidden="1" customWidth="1"/>
    <col min="11266" max="11267" width="4.625" style="20" customWidth="1"/>
    <col min="11268" max="11268" width="35.625" style="20" customWidth="1"/>
    <col min="11269" max="11269" width="25.625" style="20" customWidth="1"/>
    <col min="11270" max="11270" width="60.625" style="20" customWidth="1"/>
    <col min="11271" max="11271" width="30.625" style="20" customWidth="1"/>
    <col min="11272" max="11520" width="9" style="20"/>
    <col min="11521" max="11521" width="0" style="20" hidden="1" customWidth="1"/>
    <col min="11522" max="11523" width="4.625" style="20" customWidth="1"/>
    <col min="11524" max="11524" width="35.625" style="20" customWidth="1"/>
    <col min="11525" max="11525" width="25.625" style="20" customWidth="1"/>
    <col min="11526" max="11526" width="60.625" style="20" customWidth="1"/>
    <col min="11527" max="11527" width="30.625" style="20" customWidth="1"/>
    <col min="11528" max="11776" width="9" style="20"/>
    <col min="11777" max="11777" width="0" style="20" hidden="1" customWidth="1"/>
    <col min="11778" max="11779" width="4.625" style="20" customWidth="1"/>
    <col min="11780" max="11780" width="35.625" style="20" customWidth="1"/>
    <col min="11781" max="11781" width="25.625" style="20" customWidth="1"/>
    <col min="11782" max="11782" width="60.625" style="20" customWidth="1"/>
    <col min="11783" max="11783" width="30.625" style="20" customWidth="1"/>
    <col min="11784" max="12032" width="9" style="20"/>
    <col min="12033" max="12033" width="0" style="20" hidden="1" customWidth="1"/>
    <col min="12034" max="12035" width="4.625" style="20" customWidth="1"/>
    <col min="12036" max="12036" width="35.625" style="20" customWidth="1"/>
    <col min="12037" max="12037" width="25.625" style="20" customWidth="1"/>
    <col min="12038" max="12038" width="60.625" style="20" customWidth="1"/>
    <col min="12039" max="12039" width="30.625" style="20" customWidth="1"/>
    <col min="12040" max="12288" width="9" style="20"/>
    <col min="12289" max="12289" width="0" style="20" hidden="1" customWidth="1"/>
    <col min="12290" max="12291" width="4.625" style="20" customWidth="1"/>
    <col min="12292" max="12292" width="35.625" style="20" customWidth="1"/>
    <col min="12293" max="12293" width="25.625" style="20" customWidth="1"/>
    <col min="12294" max="12294" width="60.625" style="20" customWidth="1"/>
    <col min="12295" max="12295" width="30.625" style="20" customWidth="1"/>
    <col min="12296" max="12544" width="9" style="20"/>
    <col min="12545" max="12545" width="0" style="20" hidden="1" customWidth="1"/>
    <col min="12546" max="12547" width="4.625" style="20" customWidth="1"/>
    <col min="12548" max="12548" width="35.625" style="20" customWidth="1"/>
    <col min="12549" max="12549" width="25.625" style="20" customWidth="1"/>
    <col min="12550" max="12550" width="60.625" style="20" customWidth="1"/>
    <col min="12551" max="12551" width="30.625" style="20" customWidth="1"/>
    <col min="12552" max="12800" width="9" style="20"/>
    <col min="12801" max="12801" width="0" style="20" hidden="1" customWidth="1"/>
    <col min="12802" max="12803" width="4.625" style="20" customWidth="1"/>
    <col min="12804" max="12804" width="35.625" style="20" customWidth="1"/>
    <col min="12805" max="12805" width="25.625" style="20" customWidth="1"/>
    <col min="12806" max="12806" width="60.625" style="20" customWidth="1"/>
    <col min="12807" max="12807" width="30.625" style="20" customWidth="1"/>
    <col min="12808" max="13056" width="9" style="20"/>
    <col min="13057" max="13057" width="0" style="20" hidden="1" customWidth="1"/>
    <col min="13058" max="13059" width="4.625" style="20" customWidth="1"/>
    <col min="13060" max="13060" width="35.625" style="20" customWidth="1"/>
    <col min="13061" max="13061" width="25.625" style="20" customWidth="1"/>
    <col min="13062" max="13062" width="60.625" style="20" customWidth="1"/>
    <col min="13063" max="13063" width="30.625" style="20" customWidth="1"/>
    <col min="13064" max="13312" width="9" style="20"/>
    <col min="13313" max="13313" width="0" style="20" hidden="1" customWidth="1"/>
    <col min="13314" max="13315" width="4.625" style="20" customWidth="1"/>
    <col min="13316" max="13316" width="35.625" style="20" customWidth="1"/>
    <col min="13317" max="13317" width="25.625" style="20" customWidth="1"/>
    <col min="13318" max="13318" width="60.625" style="20" customWidth="1"/>
    <col min="13319" max="13319" width="30.625" style="20" customWidth="1"/>
    <col min="13320" max="13568" width="9" style="20"/>
    <col min="13569" max="13569" width="0" style="20" hidden="1" customWidth="1"/>
    <col min="13570" max="13571" width="4.625" style="20" customWidth="1"/>
    <col min="13572" max="13572" width="35.625" style="20" customWidth="1"/>
    <col min="13573" max="13573" width="25.625" style="20" customWidth="1"/>
    <col min="13574" max="13574" width="60.625" style="20" customWidth="1"/>
    <col min="13575" max="13575" width="30.625" style="20" customWidth="1"/>
    <col min="13576" max="13824" width="9" style="20"/>
    <col min="13825" max="13825" width="0" style="20" hidden="1" customWidth="1"/>
    <col min="13826" max="13827" width="4.625" style="20" customWidth="1"/>
    <col min="13828" max="13828" width="35.625" style="20" customWidth="1"/>
    <col min="13829" max="13829" width="25.625" style="20" customWidth="1"/>
    <col min="13830" max="13830" width="60.625" style="20" customWidth="1"/>
    <col min="13831" max="13831" width="30.625" style="20" customWidth="1"/>
    <col min="13832" max="14080" width="9" style="20"/>
    <col min="14081" max="14081" width="0" style="20" hidden="1" customWidth="1"/>
    <col min="14082" max="14083" width="4.625" style="20" customWidth="1"/>
    <col min="14084" max="14084" width="35.625" style="20" customWidth="1"/>
    <col min="14085" max="14085" width="25.625" style="20" customWidth="1"/>
    <col min="14086" max="14086" width="60.625" style="20" customWidth="1"/>
    <col min="14087" max="14087" width="30.625" style="20" customWidth="1"/>
    <col min="14088" max="14336" width="9" style="20"/>
    <col min="14337" max="14337" width="0" style="20" hidden="1" customWidth="1"/>
    <col min="14338" max="14339" width="4.625" style="20" customWidth="1"/>
    <col min="14340" max="14340" width="35.625" style="20" customWidth="1"/>
    <col min="14341" max="14341" width="25.625" style="20" customWidth="1"/>
    <col min="14342" max="14342" width="60.625" style="20" customWidth="1"/>
    <col min="14343" max="14343" width="30.625" style="20" customWidth="1"/>
    <col min="14344" max="14592" width="9" style="20"/>
    <col min="14593" max="14593" width="0" style="20" hidden="1" customWidth="1"/>
    <col min="14594" max="14595" width="4.625" style="20" customWidth="1"/>
    <col min="14596" max="14596" width="35.625" style="20" customWidth="1"/>
    <col min="14597" max="14597" width="25.625" style="20" customWidth="1"/>
    <col min="14598" max="14598" width="60.625" style="20" customWidth="1"/>
    <col min="14599" max="14599" width="30.625" style="20" customWidth="1"/>
    <col min="14600" max="14848" width="9" style="20"/>
    <col min="14849" max="14849" width="0" style="20" hidden="1" customWidth="1"/>
    <col min="14850" max="14851" width="4.625" style="20" customWidth="1"/>
    <col min="14852" max="14852" width="35.625" style="20" customWidth="1"/>
    <col min="14853" max="14853" width="25.625" style="20" customWidth="1"/>
    <col min="14854" max="14854" width="60.625" style="20" customWidth="1"/>
    <col min="14855" max="14855" width="30.625" style="20" customWidth="1"/>
    <col min="14856" max="15104" width="9" style="20"/>
    <col min="15105" max="15105" width="0" style="20" hidden="1" customWidth="1"/>
    <col min="15106" max="15107" width="4.625" style="20" customWidth="1"/>
    <col min="15108" max="15108" width="35.625" style="20" customWidth="1"/>
    <col min="15109" max="15109" width="25.625" style="20" customWidth="1"/>
    <col min="15110" max="15110" width="60.625" style="20" customWidth="1"/>
    <col min="15111" max="15111" width="30.625" style="20" customWidth="1"/>
    <col min="15112" max="15360" width="9" style="20"/>
    <col min="15361" max="15361" width="0" style="20" hidden="1" customWidth="1"/>
    <col min="15362" max="15363" width="4.625" style="20" customWidth="1"/>
    <col min="15364" max="15364" width="35.625" style="20" customWidth="1"/>
    <col min="15365" max="15365" width="25.625" style="20" customWidth="1"/>
    <col min="15366" max="15366" width="60.625" style="20" customWidth="1"/>
    <col min="15367" max="15367" width="30.625" style="20" customWidth="1"/>
    <col min="15368" max="15616" width="9" style="20"/>
    <col min="15617" max="15617" width="0" style="20" hidden="1" customWidth="1"/>
    <col min="15618" max="15619" width="4.625" style="20" customWidth="1"/>
    <col min="15620" max="15620" width="35.625" style="20" customWidth="1"/>
    <col min="15621" max="15621" width="25.625" style="20" customWidth="1"/>
    <col min="15622" max="15622" width="60.625" style="20" customWidth="1"/>
    <col min="15623" max="15623" width="30.625" style="20" customWidth="1"/>
    <col min="15624" max="15872" width="9" style="20"/>
    <col min="15873" max="15873" width="0" style="20" hidden="1" customWidth="1"/>
    <col min="15874" max="15875" width="4.625" style="20" customWidth="1"/>
    <col min="15876" max="15876" width="35.625" style="20" customWidth="1"/>
    <col min="15877" max="15877" width="25.625" style="20" customWidth="1"/>
    <col min="15878" max="15878" width="60.625" style="20" customWidth="1"/>
    <col min="15879" max="15879" width="30.625" style="20" customWidth="1"/>
    <col min="15880" max="16128" width="9" style="20"/>
    <col min="16129" max="16129" width="0" style="20" hidden="1" customWidth="1"/>
    <col min="16130" max="16131" width="4.625" style="20" customWidth="1"/>
    <col min="16132" max="16132" width="35.625" style="20" customWidth="1"/>
    <col min="16133" max="16133" width="25.625" style="20" customWidth="1"/>
    <col min="16134" max="16134" width="60.625" style="20" customWidth="1"/>
    <col min="16135" max="16135" width="30.625" style="20" customWidth="1"/>
    <col min="16136" max="16384" width="9" style="20"/>
  </cols>
  <sheetData>
    <row r="1" spans="1:10" ht="24" customHeight="1">
      <c r="B1" s="83" t="s">
        <v>445</v>
      </c>
      <c r="C1" s="83"/>
      <c r="D1" s="83"/>
      <c r="E1" s="83"/>
      <c r="F1" s="83"/>
      <c r="G1" s="83"/>
    </row>
    <row r="2" spans="1:10" ht="21.95" customHeight="1">
      <c r="B2" s="84" t="s">
        <v>536</v>
      </c>
      <c r="C2" s="84"/>
      <c r="D2" s="84"/>
      <c r="E2" s="84"/>
      <c r="F2" s="85"/>
      <c r="G2" s="85"/>
    </row>
    <row r="3" spans="1:10" ht="21.95" customHeight="1">
      <c r="B3" s="86" t="s">
        <v>446</v>
      </c>
      <c r="C3" s="86"/>
      <c r="D3" s="86"/>
      <c r="E3" s="25" t="s">
        <v>447</v>
      </c>
      <c r="F3" s="25" t="s">
        <v>448</v>
      </c>
      <c r="G3" s="25" t="s">
        <v>440</v>
      </c>
    </row>
    <row r="4" spans="1:10" ht="21.95" customHeight="1">
      <c r="A4" s="26" t="s">
        <v>449</v>
      </c>
      <c r="B4" s="87" t="s">
        <v>450</v>
      </c>
      <c r="C4" s="87" t="s">
        <v>451</v>
      </c>
      <c r="D4" s="27" t="s">
        <v>452</v>
      </c>
      <c r="E4" s="28">
        <f>'총괄표 '!E13-E5</f>
        <v>0</v>
      </c>
      <c r="F4" s="29" t="s">
        <v>50</v>
      </c>
      <c r="G4" s="29" t="s">
        <v>50</v>
      </c>
      <c r="I4" s="20" t="s">
        <v>453</v>
      </c>
      <c r="J4" s="30">
        <f>E4+E5</f>
        <v>0</v>
      </c>
    </row>
    <row r="5" spans="1:10" ht="21.95" customHeight="1">
      <c r="A5" s="26" t="s">
        <v>454</v>
      </c>
      <c r="B5" s="87"/>
      <c r="C5" s="87"/>
      <c r="D5" s="27" t="s">
        <v>455</v>
      </c>
      <c r="E5" s="28">
        <f>공종별집계표!E7+공종별집계표!E17+공종별집계표!E27+공종별집계표!E36</f>
        <v>0</v>
      </c>
      <c r="F5" s="29" t="s">
        <v>585</v>
      </c>
      <c r="G5" s="29" t="s">
        <v>50</v>
      </c>
      <c r="I5" s="20" t="s">
        <v>456</v>
      </c>
    </row>
    <row r="6" spans="1:10" ht="21.95" customHeight="1">
      <c r="A6" s="26" t="s">
        <v>441</v>
      </c>
      <c r="B6" s="87"/>
      <c r="C6" s="87"/>
      <c r="D6" s="27" t="s">
        <v>457</v>
      </c>
      <c r="E6" s="28">
        <f>'총괄표 '!K23</f>
        <v>0</v>
      </c>
      <c r="F6" s="29" t="s">
        <v>50</v>
      </c>
      <c r="G6" s="29" t="s">
        <v>50</v>
      </c>
    </row>
    <row r="7" spans="1:10" ht="21.95" customHeight="1">
      <c r="A7" s="26" t="s">
        <v>458</v>
      </c>
      <c r="B7" s="87"/>
      <c r="C7" s="87"/>
      <c r="D7" s="27" t="s">
        <v>459</v>
      </c>
      <c r="E7" s="28">
        <f>E4+E5-E6</f>
        <v>0</v>
      </c>
      <c r="F7" s="31"/>
      <c r="G7" s="29" t="s">
        <v>50</v>
      </c>
    </row>
    <row r="8" spans="1:10" ht="21.95" customHeight="1">
      <c r="A8" s="26" t="s">
        <v>460</v>
      </c>
      <c r="B8" s="87"/>
      <c r="C8" s="87" t="s">
        <v>461</v>
      </c>
      <c r="D8" s="27" t="s">
        <v>462</v>
      </c>
      <c r="E8" s="28">
        <f>'총괄표 '!G13</f>
        <v>0</v>
      </c>
      <c r="F8" s="68" t="s">
        <v>50</v>
      </c>
      <c r="G8" s="29" t="s">
        <v>50</v>
      </c>
    </row>
    <row r="9" spans="1:10" ht="21.95" customHeight="1">
      <c r="A9" s="26" t="s">
        <v>463</v>
      </c>
      <c r="B9" s="87"/>
      <c r="C9" s="87"/>
      <c r="D9" s="27" t="s">
        <v>464</v>
      </c>
      <c r="E9" s="28">
        <f>TRUNC(E8*0.079, 0)</f>
        <v>0</v>
      </c>
      <c r="F9" s="37" t="s">
        <v>534</v>
      </c>
      <c r="G9" s="29" t="s">
        <v>50</v>
      </c>
      <c r="H9" s="20" t="s">
        <v>465</v>
      </c>
      <c r="J9" s="30">
        <f>E4+E5+E8+E11</f>
        <v>0</v>
      </c>
    </row>
    <row r="10" spans="1:10" ht="21.95" customHeight="1">
      <c r="A10" s="26" t="s">
        <v>466</v>
      </c>
      <c r="B10" s="87"/>
      <c r="C10" s="87"/>
      <c r="D10" s="27" t="s">
        <v>459</v>
      </c>
      <c r="E10" s="28">
        <f>TRUNC(E8+E9, 0)</f>
        <v>0</v>
      </c>
      <c r="F10" s="68" t="s">
        <v>50</v>
      </c>
      <c r="G10" s="65" t="s">
        <v>50</v>
      </c>
    </row>
    <row r="11" spans="1:10" ht="21.95" customHeight="1">
      <c r="A11" s="26" t="s">
        <v>467</v>
      </c>
      <c r="B11" s="87"/>
      <c r="C11" s="87" t="s">
        <v>468</v>
      </c>
      <c r="D11" s="27" t="s">
        <v>469</v>
      </c>
      <c r="E11" s="28">
        <f>'총괄표 '!I13</f>
        <v>0</v>
      </c>
      <c r="F11" s="68" t="s">
        <v>50</v>
      </c>
      <c r="G11" s="65" t="s">
        <v>50</v>
      </c>
    </row>
    <row r="12" spans="1:10" ht="21.95" customHeight="1">
      <c r="A12" s="26" t="s">
        <v>470</v>
      </c>
      <c r="B12" s="87"/>
      <c r="C12" s="87"/>
      <c r="D12" s="27" t="s">
        <v>471</v>
      </c>
      <c r="E12" s="28">
        <f>TRUNC(E10*0.0405, 0)</f>
        <v>0</v>
      </c>
      <c r="F12" s="37" t="s">
        <v>526</v>
      </c>
      <c r="G12" s="66" t="s">
        <v>472</v>
      </c>
      <c r="H12" s="20" t="s">
        <v>473</v>
      </c>
    </row>
    <row r="13" spans="1:10" ht="21.95" customHeight="1">
      <c r="A13" s="26" t="s">
        <v>474</v>
      </c>
      <c r="B13" s="87"/>
      <c r="C13" s="87"/>
      <c r="D13" s="27" t="s">
        <v>475</v>
      </c>
      <c r="E13" s="28">
        <f>TRUNC(E10*0.0087, 0)</f>
        <v>0</v>
      </c>
      <c r="F13" s="37" t="s">
        <v>527</v>
      </c>
      <c r="G13" s="66" t="s">
        <v>472</v>
      </c>
    </row>
    <row r="14" spans="1:10" s="36" customFormat="1" ht="21.95" customHeight="1">
      <c r="A14" s="33" t="s">
        <v>476</v>
      </c>
      <c r="B14" s="87"/>
      <c r="C14" s="87"/>
      <c r="D14" s="34" t="s">
        <v>477</v>
      </c>
      <c r="E14" s="35">
        <f>E8*3.12%</f>
        <v>0</v>
      </c>
      <c r="F14" s="69" t="s">
        <v>528</v>
      </c>
      <c r="G14" s="67" t="s">
        <v>584</v>
      </c>
    </row>
    <row r="15" spans="1:10" s="36" customFormat="1" ht="21.95" customHeight="1">
      <c r="A15" s="33" t="s">
        <v>478</v>
      </c>
      <c r="B15" s="87"/>
      <c r="C15" s="87"/>
      <c r="D15" s="34" t="s">
        <v>479</v>
      </c>
      <c r="E15" s="35">
        <f>E8*4.5%</f>
        <v>0</v>
      </c>
      <c r="F15" s="69" t="s">
        <v>529</v>
      </c>
      <c r="G15" s="67" t="s">
        <v>584</v>
      </c>
    </row>
    <row r="16" spans="1:10" s="36" customFormat="1" ht="21.95" customHeight="1">
      <c r="A16" s="33" t="s">
        <v>480</v>
      </c>
      <c r="B16" s="87"/>
      <c r="C16" s="87"/>
      <c r="D16" s="34" t="s">
        <v>481</v>
      </c>
      <c r="E16" s="35">
        <f>TRUNC(E14*0.0738, 0)</f>
        <v>0</v>
      </c>
      <c r="F16" s="69" t="s">
        <v>530</v>
      </c>
      <c r="G16" s="67" t="s">
        <v>584</v>
      </c>
      <c r="H16" s="20" t="s">
        <v>482</v>
      </c>
    </row>
    <row r="17" spans="1:8" ht="21.95" customHeight="1">
      <c r="A17" s="26" t="s">
        <v>483</v>
      </c>
      <c r="B17" s="87"/>
      <c r="C17" s="87"/>
      <c r="D17" s="27" t="s">
        <v>484</v>
      </c>
      <c r="E17" s="35"/>
      <c r="F17" s="68" t="s">
        <v>485</v>
      </c>
      <c r="G17" s="67" t="s">
        <v>602</v>
      </c>
    </row>
    <row r="18" spans="1:8" ht="21.95" customHeight="1">
      <c r="A18" s="26" t="s">
        <v>486</v>
      </c>
      <c r="B18" s="87"/>
      <c r="C18" s="87"/>
      <c r="D18" s="27" t="s">
        <v>487</v>
      </c>
      <c r="E18" s="28">
        <f>TRUNC(E7+E8)*0.0293</f>
        <v>0</v>
      </c>
      <c r="F18" s="68" t="s">
        <v>531</v>
      </c>
      <c r="G18" s="66" t="s">
        <v>488</v>
      </c>
    </row>
    <row r="19" spans="1:8" ht="21.95" customHeight="1">
      <c r="A19" s="26" t="s">
        <v>489</v>
      </c>
      <c r="B19" s="87"/>
      <c r="C19" s="87"/>
      <c r="D19" s="27" t="s">
        <v>490</v>
      </c>
      <c r="E19" s="28">
        <f>TRUNC((E7+E8+E11)*0.005, 0)</f>
        <v>0</v>
      </c>
      <c r="F19" s="37" t="s">
        <v>491</v>
      </c>
      <c r="G19" s="65" t="s">
        <v>50</v>
      </c>
    </row>
    <row r="20" spans="1:8" ht="21.95" customHeight="1">
      <c r="A20" s="26" t="s">
        <v>492</v>
      </c>
      <c r="B20" s="87"/>
      <c r="C20" s="87"/>
      <c r="D20" s="27" t="s">
        <v>493</v>
      </c>
      <c r="E20" s="28">
        <f>TRUNC((E7+E10)*0.055, 0)</f>
        <v>0</v>
      </c>
      <c r="F20" s="37" t="s">
        <v>532</v>
      </c>
      <c r="G20" s="65" t="s">
        <v>50</v>
      </c>
      <c r="H20" s="20" t="s">
        <v>494</v>
      </c>
    </row>
    <row r="21" spans="1:8" ht="21.95" customHeight="1">
      <c r="A21" s="26" t="s">
        <v>495</v>
      </c>
      <c r="B21" s="87"/>
      <c r="C21" s="87"/>
      <c r="D21" s="27" t="s">
        <v>459</v>
      </c>
      <c r="E21" s="28">
        <f>TRUNC(E11+E12+E13+E14+E15+E17+E18+E16+E20+E19, 0)</f>
        <v>0</v>
      </c>
      <c r="F21" s="68" t="s">
        <v>50</v>
      </c>
      <c r="G21" s="65" t="s">
        <v>50</v>
      </c>
    </row>
    <row r="22" spans="1:8" ht="21.95" customHeight="1">
      <c r="A22" s="26" t="s">
        <v>496</v>
      </c>
      <c r="B22" s="81" t="s">
        <v>497</v>
      </c>
      <c r="C22" s="81"/>
      <c r="D22" s="82"/>
      <c r="E22" s="28">
        <f>TRUNC(E7+E10+E21, 0)</f>
        <v>0</v>
      </c>
      <c r="F22" s="68" t="s">
        <v>50</v>
      </c>
      <c r="G22" s="65" t="s">
        <v>50</v>
      </c>
    </row>
    <row r="23" spans="1:8" ht="21.95" customHeight="1">
      <c r="A23" s="26" t="s">
        <v>498</v>
      </c>
      <c r="B23" s="81" t="s">
        <v>499</v>
      </c>
      <c r="C23" s="81"/>
      <c r="D23" s="82"/>
      <c r="E23" s="28">
        <f>TRUNC(E22*0.06, 0)</f>
        <v>0</v>
      </c>
      <c r="F23" s="68" t="s">
        <v>533</v>
      </c>
      <c r="G23" s="29" t="s">
        <v>50</v>
      </c>
    </row>
    <row r="24" spans="1:8" ht="21.95" customHeight="1">
      <c r="A24" s="26" t="s">
        <v>500</v>
      </c>
      <c r="B24" s="81" t="s">
        <v>501</v>
      </c>
      <c r="C24" s="81"/>
      <c r="D24" s="82"/>
      <c r="E24" s="28">
        <f>TRUNC((E10+E21+E23)*0.15)</f>
        <v>0</v>
      </c>
      <c r="F24" s="68" t="s">
        <v>502</v>
      </c>
      <c r="G24" s="38"/>
    </row>
    <row r="25" spans="1:8" ht="21.95" customHeight="1">
      <c r="A25" s="26" t="s">
        <v>503</v>
      </c>
      <c r="B25" s="81" t="s">
        <v>504</v>
      </c>
      <c r="C25" s="81"/>
      <c r="D25" s="82"/>
      <c r="E25" s="28">
        <f>TRUNC((E22+E23+E24), 0)</f>
        <v>0</v>
      </c>
      <c r="F25" s="29" t="s">
        <v>50</v>
      </c>
      <c r="G25" s="29" t="s">
        <v>50</v>
      </c>
      <c r="H25" s="40"/>
    </row>
    <row r="26" spans="1:8" ht="21.95" customHeight="1">
      <c r="A26" s="26" t="s">
        <v>505</v>
      </c>
      <c r="B26" s="81" t="s">
        <v>506</v>
      </c>
      <c r="C26" s="81"/>
      <c r="D26" s="82"/>
      <c r="E26" s="28"/>
      <c r="F26" s="29" t="s">
        <v>507</v>
      </c>
      <c r="G26" s="29" t="s">
        <v>50</v>
      </c>
      <c r="H26" s="40"/>
    </row>
    <row r="27" spans="1:8" ht="21.95" customHeight="1">
      <c r="A27" s="26" t="s">
        <v>508</v>
      </c>
      <c r="B27" s="81" t="s">
        <v>509</v>
      </c>
      <c r="C27" s="81"/>
      <c r="D27" s="82"/>
      <c r="E27" s="28"/>
      <c r="F27" s="29" t="s">
        <v>50</v>
      </c>
      <c r="G27" s="32" t="s">
        <v>510</v>
      </c>
      <c r="H27" s="39"/>
    </row>
    <row r="28" spans="1:8" ht="21.95" customHeight="1">
      <c r="A28" s="26" t="s">
        <v>511</v>
      </c>
      <c r="B28" s="81" t="s">
        <v>512</v>
      </c>
      <c r="C28" s="81"/>
      <c r="D28" s="82"/>
      <c r="E28" s="28"/>
      <c r="F28" s="29" t="s">
        <v>50</v>
      </c>
      <c r="G28" s="29" t="s">
        <v>50</v>
      </c>
    </row>
  </sheetData>
  <mergeCells count="15">
    <mergeCell ref="B1:G1"/>
    <mergeCell ref="B2:E2"/>
    <mergeCell ref="F2:G2"/>
    <mergeCell ref="B3:D3"/>
    <mergeCell ref="B4:B21"/>
    <mergeCell ref="C4:C7"/>
    <mergeCell ref="C8:C10"/>
    <mergeCell ref="C11:C21"/>
    <mergeCell ref="B27:D27"/>
    <mergeCell ref="B28:D28"/>
    <mergeCell ref="B22:D22"/>
    <mergeCell ref="B23:D23"/>
    <mergeCell ref="B24:D24"/>
    <mergeCell ref="B25:D25"/>
    <mergeCell ref="B26:D26"/>
  </mergeCells>
  <phoneticPr fontId="1" type="noConversion"/>
  <pageMargins left="0.78740157480314965" right="0" top="0.39370078740157483" bottom="0.39370078740157483" header="0" footer="0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V53"/>
  <sheetViews>
    <sheetView showZeros="0" view="pageBreakPreview" zoomScale="90" zoomScaleNormal="75" zoomScaleSheetLayoutView="90" workbookViewId="0">
      <selection activeCell="M28" sqref="M28"/>
    </sheetView>
  </sheetViews>
  <sheetFormatPr defaultRowHeight="16.5"/>
  <cols>
    <col min="1" max="1" width="41.875" customWidth="1"/>
    <col min="2" max="3" width="5.375" customWidth="1"/>
    <col min="4" max="11" width="15.625" customWidth="1"/>
    <col min="12" max="12" width="14.375" customWidth="1"/>
    <col min="13" max="13" width="26.5" customWidth="1"/>
    <col min="257" max="257" width="41.875" customWidth="1"/>
    <col min="258" max="259" width="5.375" customWidth="1"/>
    <col min="260" max="267" width="15.625" customWidth="1"/>
    <col min="268" max="268" width="14.375" customWidth="1"/>
    <col min="269" max="269" width="26.5" customWidth="1"/>
    <col min="513" max="513" width="41.875" customWidth="1"/>
    <col min="514" max="515" width="5.375" customWidth="1"/>
    <col min="516" max="523" width="15.625" customWidth="1"/>
    <col min="524" max="524" width="14.375" customWidth="1"/>
    <col min="525" max="525" width="26.5" customWidth="1"/>
    <col min="769" max="769" width="41.875" customWidth="1"/>
    <col min="770" max="771" width="5.375" customWidth="1"/>
    <col min="772" max="779" width="15.625" customWidth="1"/>
    <col min="780" max="780" width="14.375" customWidth="1"/>
    <col min="781" max="781" width="26.5" customWidth="1"/>
    <col min="1025" max="1025" width="41.875" customWidth="1"/>
    <col min="1026" max="1027" width="5.375" customWidth="1"/>
    <col min="1028" max="1035" width="15.625" customWidth="1"/>
    <col min="1036" max="1036" width="14.375" customWidth="1"/>
    <col min="1037" max="1037" width="26.5" customWidth="1"/>
    <col min="1281" max="1281" width="41.875" customWidth="1"/>
    <col min="1282" max="1283" width="5.375" customWidth="1"/>
    <col min="1284" max="1291" width="15.625" customWidth="1"/>
    <col min="1292" max="1292" width="14.375" customWidth="1"/>
    <col min="1293" max="1293" width="26.5" customWidth="1"/>
    <col min="1537" max="1537" width="41.875" customWidth="1"/>
    <col min="1538" max="1539" width="5.375" customWidth="1"/>
    <col min="1540" max="1547" width="15.625" customWidth="1"/>
    <col min="1548" max="1548" width="14.375" customWidth="1"/>
    <col min="1549" max="1549" width="26.5" customWidth="1"/>
    <col min="1793" max="1793" width="41.875" customWidth="1"/>
    <col min="1794" max="1795" width="5.375" customWidth="1"/>
    <col min="1796" max="1803" width="15.625" customWidth="1"/>
    <col min="1804" max="1804" width="14.375" customWidth="1"/>
    <col min="1805" max="1805" width="26.5" customWidth="1"/>
    <col min="2049" max="2049" width="41.875" customWidth="1"/>
    <col min="2050" max="2051" width="5.375" customWidth="1"/>
    <col min="2052" max="2059" width="15.625" customWidth="1"/>
    <col min="2060" max="2060" width="14.375" customWidth="1"/>
    <col min="2061" max="2061" width="26.5" customWidth="1"/>
    <col min="2305" max="2305" width="41.875" customWidth="1"/>
    <col min="2306" max="2307" width="5.375" customWidth="1"/>
    <col min="2308" max="2315" width="15.625" customWidth="1"/>
    <col min="2316" max="2316" width="14.375" customWidth="1"/>
    <col min="2317" max="2317" width="26.5" customWidth="1"/>
    <col min="2561" max="2561" width="41.875" customWidth="1"/>
    <col min="2562" max="2563" width="5.375" customWidth="1"/>
    <col min="2564" max="2571" width="15.625" customWidth="1"/>
    <col min="2572" max="2572" width="14.375" customWidth="1"/>
    <col min="2573" max="2573" width="26.5" customWidth="1"/>
    <col min="2817" max="2817" width="41.875" customWidth="1"/>
    <col min="2818" max="2819" width="5.375" customWidth="1"/>
    <col min="2820" max="2827" width="15.625" customWidth="1"/>
    <col min="2828" max="2828" width="14.375" customWidth="1"/>
    <col min="2829" max="2829" width="26.5" customWidth="1"/>
    <col min="3073" max="3073" width="41.875" customWidth="1"/>
    <col min="3074" max="3075" width="5.375" customWidth="1"/>
    <col min="3076" max="3083" width="15.625" customWidth="1"/>
    <col min="3084" max="3084" width="14.375" customWidth="1"/>
    <col min="3085" max="3085" width="26.5" customWidth="1"/>
    <col min="3329" max="3329" width="41.875" customWidth="1"/>
    <col min="3330" max="3331" width="5.375" customWidth="1"/>
    <col min="3332" max="3339" width="15.625" customWidth="1"/>
    <col min="3340" max="3340" width="14.375" customWidth="1"/>
    <col min="3341" max="3341" width="26.5" customWidth="1"/>
    <col min="3585" max="3585" width="41.875" customWidth="1"/>
    <col min="3586" max="3587" width="5.375" customWidth="1"/>
    <col min="3588" max="3595" width="15.625" customWidth="1"/>
    <col min="3596" max="3596" width="14.375" customWidth="1"/>
    <col min="3597" max="3597" width="26.5" customWidth="1"/>
    <col min="3841" max="3841" width="41.875" customWidth="1"/>
    <col min="3842" max="3843" width="5.375" customWidth="1"/>
    <col min="3844" max="3851" width="15.625" customWidth="1"/>
    <col min="3852" max="3852" width="14.375" customWidth="1"/>
    <col min="3853" max="3853" width="26.5" customWidth="1"/>
    <col min="4097" max="4097" width="41.875" customWidth="1"/>
    <col min="4098" max="4099" width="5.375" customWidth="1"/>
    <col min="4100" max="4107" width="15.625" customWidth="1"/>
    <col min="4108" max="4108" width="14.375" customWidth="1"/>
    <col min="4109" max="4109" width="26.5" customWidth="1"/>
    <col min="4353" max="4353" width="41.875" customWidth="1"/>
    <col min="4354" max="4355" width="5.375" customWidth="1"/>
    <col min="4356" max="4363" width="15.625" customWidth="1"/>
    <col min="4364" max="4364" width="14.375" customWidth="1"/>
    <col min="4365" max="4365" width="26.5" customWidth="1"/>
    <col min="4609" max="4609" width="41.875" customWidth="1"/>
    <col min="4610" max="4611" width="5.375" customWidth="1"/>
    <col min="4612" max="4619" width="15.625" customWidth="1"/>
    <col min="4620" max="4620" width="14.375" customWidth="1"/>
    <col min="4621" max="4621" width="26.5" customWidth="1"/>
    <col min="4865" max="4865" width="41.875" customWidth="1"/>
    <col min="4866" max="4867" width="5.375" customWidth="1"/>
    <col min="4868" max="4875" width="15.625" customWidth="1"/>
    <col min="4876" max="4876" width="14.375" customWidth="1"/>
    <col min="4877" max="4877" width="26.5" customWidth="1"/>
    <col min="5121" max="5121" width="41.875" customWidth="1"/>
    <col min="5122" max="5123" width="5.375" customWidth="1"/>
    <col min="5124" max="5131" width="15.625" customWidth="1"/>
    <col min="5132" max="5132" width="14.375" customWidth="1"/>
    <col min="5133" max="5133" width="26.5" customWidth="1"/>
    <col min="5377" max="5377" width="41.875" customWidth="1"/>
    <col min="5378" max="5379" width="5.375" customWidth="1"/>
    <col min="5380" max="5387" width="15.625" customWidth="1"/>
    <col min="5388" max="5388" width="14.375" customWidth="1"/>
    <col min="5389" max="5389" width="26.5" customWidth="1"/>
    <col min="5633" max="5633" width="41.875" customWidth="1"/>
    <col min="5634" max="5635" width="5.375" customWidth="1"/>
    <col min="5636" max="5643" width="15.625" customWidth="1"/>
    <col min="5644" max="5644" width="14.375" customWidth="1"/>
    <col min="5645" max="5645" width="26.5" customWidth="1"/>
    <col min="5889" max="5889" width="41.875" customWidth="1"/>
    <col min="5890" max="5891" width="5.375" customWidth="1"/>
    <col min="5892" max="5899" width="15.625" customWidth="1"/>
    <col min="5900" max="5900" width="14.375" customWidth="1"/>
    <col min="5901" max="5901" width="26.5" customWidth="1"/>
    <col min="6145" max="6145" width="41.875" customWidth="1"/>
    <col min="6146" max="6147" width="5.375" customWidth="1"/>
    <col min="6148" max="6155" width="15.625" customWidth="1"/>
    <col min="6156" max="6156" width="14.375" customWidth="1"/>
    <col min="6157" max="6157" width="26.5" customWidth="1"/>
    <col min="6401" max="6401" width="41.875" customWidth="1"/>
    <col min="6402" max="6403" width="5.375" customWidth="1"/>
    <col min="6404" max="6411" width="15.625" customWidth="1"/>
    <col min="6412" max="6412" width="14.375" customWidth="1"/>
    <col min="6413" max="6413" width="26.5" customWidth="1"/>
    <col min="6657" max="6657" width="41.875" customWidth="1"/>
    <col min="6658" max="6659" width="5.375" customWidth="1"/>
    <col min="6660" max="6667" width="15.625" customWidth="1"/>
    <col min="6668" max="6668" width="14.375" customWidth="1"/>
    <col min="6669" max="6669" width="26.5" customWidth="1"/>
    <col min="6913" max="6913" width="41.875" customWidth="1"/>
    <col min="6914" max="6915" width="5.375" customWidth="1"/>
    <col min="6916" max="6923" width="15.625" customWidth="1"/>
    <col min="6924" max="6924" width="14.375" customWidth="1"/>
    <col min="6925" max="6925" width="26.5" customWidth="1"/>
    <col min="7169" max="7169" width="41.875" customWidth="1"/>
    <col min="7170" max="7171" width="5.375" customWidth="1"/>
    <col min="7172" max="7179" width="15.625" customWidth="1"/>
    <col min="7180" max="7180" width="14.375" customWidth="1"/>
    <col min="7181" max="7181" width="26.5" customWidth="1"/>
    <col min="7425" max="7425" width="41.875" customWidth="1"/>
    <col min="7426" max="7427" width="5.375" customWidth="1"/>
    <col min="7428" max="7435" width="15.625" customWidth="1"/>
    <col min="7436" max="7436" width="14.375" customWidth="1"/>
    <col min="7437" max="7437" width="26.5" customWidth="1"/>
    <col min="7681" max="7681" width="41.875" customWidth="1"/>
    <col min="7682" max="7683" width="5.375" customWidth="1"/>
    <col min="7684" max="7691" width="15.625" customWidth="1"/>
    <col min="7692" max="7692" width="14.375" customWidth="1"/>
    <col min="7693" max="7693" width="26.5" customWidth="1"/>
    <col min="7937" max="7937" width="41.875" customWidth="1"/>
    <col min="7938" max="7939" width="5.375" customWidth="1"/>
    <col min="7940" max="7947" width="15.625" customWidth="1"/>
    <col min="7948" max="7948" width="14.375" customWidth="1"/>
    <col min="7949" max="7949" width="26.5" customWidth="1"/>
    <col min="8193" max="8193" width="41.875" customWidth="1"/>
    <col min="8194" max="8195" width="5.375" customWidth="1"/>
    <col min="8196" max="8203" width="15.625" customWidth="1"/>
    <col min="8204" max="8204" width="14.375" customWidth="1"/>
    <col min="8205" max="8205" width="26.5" customWidth="1"/>
    <col min="8449" max="8449" width="41.875" customWidth="1"/>
    <col min="8450" max="8451" width="5.375" customWidth="1"/>
    <col min="8452" max="8459" width="15.625" customWidth="1"/>
    <col min="8460" max="8460" width="14.375" customWidth="1"/>
    <col min="8461" max="8461" width="26.5" customWidth="1"/>
    <col min="8705" max="8705" width="41.875" customWidth="1"/>
    <col min="8706" max="8707" width="5.375" customWidth="1"/>
    <col min="8708" max="8715" width="15.625" customWidth="1"/>
    <col min="8716" max="8716" width="14.375" customWidth="1"/>
    <col min="8717" max="8717" width="26.5" customWidth="1"/>
    <col min="8961" max="8961" width="41.875" customWidth="1"/>
    <col min="8962" max="8963" width="5.375" customWidth="1"/>
    <col min="8964" max="8971" width="15.625" customWidth="1"/>
    <col min="8972" max="8972" width="14.375" customWidth="1"/>
    <col min="8973" max="8973" width="26.5" customWidth="1"/>
    <col min="9217" max="9217" width="41.875" customWidth="1"/>
    <col min="9218" max="9219" width="5.375" customWidth="1"/>
    <col min="9220" max="9227" width="15.625" customWidth="1"/>
    <col min="9228" max="9228" width="14.375" customWidth="1"/>
    <col min="9229" max="9229" width="26.5" customWidth="1"/>
    <col min="9473" max="9473" width="41.875" customWidth="1"/>
    <col min="9474" max="9475" width="5.375" customWidth="1"/>
    <col min="9476" max="9483" width="15.625" customWidth="1"/>
    <col min="9484" max="9484" width="14.375" customWidth="1"/>
    <col min="9485" max="9485" width="26.5" customWidth="1"/>
    <col min="9729" max="9729" width="41.875" customWidth="1"/>
    <col min="9730" max="9731" width="5.375" customWidth="1"/>
    <col min="9732" max="9739" width="15.625" customWidth="1"/>
    <col min="9740" max="9740" width="14.375" customWidth="1"/>
    <col min="9741" max="9741" width="26.5" customWidth="1"/>
    <col min="9985" max="9985" width="41.875" customWidth="1"/>
    <col min="9986" max="9987" width="5.375" customWidth="1"/>
    <col min="9988" max="9995" width="15.625" customWidth="1"/>
    <col min="9996" max="9996" width="14.375" customWidth="1"/>
    <col min="9997" max="9997" width="26.5" customWidth="1"/>
    <col min="10241" max="10241" width="41.875" customWidth="1"/>
    <col min="10242" max="10243" width="5.375" customWidth="1"/>
    <col min="10244" max="10251" width="15.625" customWidth="1"/>
    <col min="10252" max="10252" width="14.375" customWidth="1"/>
    <col min="10253" max="10253" width="26.5" customWidth="1"/>
    <col min="10497" max="10497" width="41.875" customWidth="1"/>
    <col min="10498" max="10499" width="5.375" customWidth="1"/>
    <col min="10500" max="10507" width="15.625" customWidth="1"/>
    <col min="10508" max="10508" width="14.375" customWidth="1"/>
    <col min="10509" max="10509" width="26.5" customWidth="1"/>
    <col min="10753" max="10753" width="41.875" customWidth="1"/>
    <col min="10754" max="10755" width="5.375" customWidth="1"/>
    <col min="10756" max="10763" width="15.625" customWidth="1"/>
    <col min="10764" max="10764" width="14.375" customWidth="1"/>
    <col min="10765" max="10765" width="26.5" customWidth="1"/>
    <col min="11009" max="11009" width="41.875" customWidth="1"/>
    <col min="11010" max="11011" width="5.375" customWidth="1"/>
    <col min="11012" max="11019" width="15.625" customWidth="1"/>
    <col min="11020" max="11020" width="14.375" customWidth="1"/>
    <col min="11021" max="11021" width="26.5" customWidth="1"/>
    <col min="11265" max="11265" width="41.875" customWidth="1"/>
    <col min="11266" max="11267" width="5.375" customWidth="1"/>
    <col min="11268" max="11275" width="15.625" customWidth="1"/>
    <col min="11276" max="11276" width="14.375" customWidth="1"/>
    <col min="11277" max="11277" width="26.5" customWidth="1"/>
    <col min="11521" max="11521" width="41.875" customWidth="1"/>
    <col min="11522" max="11523" width="5.375" customWidth="1"/>
    <col min="11524" max="11531" width="15.625" customWidth="1"/>
    <col min="11532" max="11532" width="14.375" customWidth="1"/>
    <col min="11533" max="11533" width="26.5" customWidth="1"/>
    <col min="11777" max="11777" width="41.875" customWidth="1"/>
    <col min="11778" max="11779" width="5.375" customWidth="1"/>
    <col min="11780" max="11787" width="15.625" customWidth="1"/>
    <col min="11788" max="11788" width="14.375" customWidth="1"/>
    <col min="11789" max="11789" width="26.5" customWidth="1"/>
    <col min="12033" max="12033" width="41.875" customWidth="1"/>
    <col min="12034" max="12035" width="5.375" customWidth="1"/>
    <col min="12036" max="12043" width="15.625" customWidth="1"/>
    <col min="12044" max="12044" width="14.375" customWidth="1"/>
    <col min="12045" max="12045" width="26.5" customWidth="1"/>
    <col min="12289" max="12289" width="41.875" customWidth="1"/>
    <col min="12290" max="12291" width="5.375" customWidth="1"/>
    <col min="12292" max="12299" width="15.625" customWidth="1"/>
    <col min="12300" max="12300" width="14.375" customWidth="1"/>
    <col min="12301" max="12301" width="26.5" customWidth="1"/>
    <col min="12545" max="12545" width="41.875" customWidth="1"/>
    <col min="12546" max="12547" width="5.375" customWidth="1"/>
    <col min="12548" max="12555" width="15.625" customWidth="1"/>
    <col min="12556" max="12556" width="14.375" customWidth="1"/>
    <col min="12557" max="12557" width="26.5" customWidth="1"/>
    <col min="12801" max="12801" width="41.875" customWidth="1"/>
    <col min="12802" max="12803" width="5.375" customWidth="1"/>
    <col min="12804" max="12811" width="15.625" customWidth="1"/>
    <col min="12812" max="12812" width="14.375" customWidth="1"/>
    <col min="12813" max="12813" width="26.5" customWidth="1"/>
    <col min="13057" max="13057" width="41.875" customWidth="1"/>
    <col min="13058" max="13059" width="5.375" customWidth="1"/>
    <col min="13060" max="13067" width="15.625" customWidth="1"/>
    <col min="13068" max="13068" width="14.375" customWidth="1"/>
    <col min="13069" max="13069" width="26.5" customWidth="1"/>
    <col min="13313" max="13313" width="41.875" customWidth="1"/>
    <col min="13314" max="13315" width="5.375" customWidth="1"/>
    <col min="13316" max="13323" width="15.625" customWidth="1"/>
    <col min="13324" max="13324" width="14.375" customWidth="1"/>
    <col min="13325" max="13325" width="26.5" customWidth="1"/>
    <col min="13569" max="13569" width="41.875" customWidth="1"/>
    <col min="13570" max="13571" width="5.375" customWidth="1"/>
    <col min="13572" max="13579" width="15.625" customWidth="1"/>
    <col min="13580" max="13580" width="14.375" customWidth="1"/>
    <col min="13581" max="13581" width="26.5" customWidth="1"/>
    <col min="13825" max="13825" width="41.875" customWidth="1"/>
    <col min="13826" max="13827" width="5.375" customWidth="1"/>
    <col min="13828" max="13835" width="15.625" customWidth="1"/>
    <col min="13836" max="13836" width="14.375" customWidth="1"/>
    <col min="13837" max="13837" width="26.5" customWidth="1"/>
    <col min="14081" max="14081" width="41.875" customWidth="1"/>
    <col min="14082" max="14083" width="5.375" customWidth="1"/>
    <col min="14084" max="14091" width="15.625" customWidth="1"/>
    <col min="14092" max="14092" width="14.375" customWidth="1"/>
    <col min="14093" max="14093" width="26.5" customWidth="1"/>
    <col min="14337" max="14337" width="41.875" customWidth="1"/>
    <col min="14338" max="14339" width="5.375" customWidth="1"/>
    <col min="14340" max="14347" width="15.625" customWidth="1"/>
    <col min="14348" max="14348" width="14.375" customWidth="1"/>
    <col min="14349" max="14349" width="26.5" customWidth="1"/>
    <col min="14593" max="14593" width="41.875" customWidth="1"/>
    <col min="14594" max="14595" width="5.375" customWidth="1"/>
    <col min="14596" max="14603" width="15.625" customWidth="1"/>
    <col min="14604" max="14604" width="14.375" customWidth="1"/>
    <col min="14605" max="14605" width="26.5" customWidth="1"/>
    <col min="14849" max="14849" width="41.875" customWidth="1"/>
    <col min="14850" max="14851" width="5.375" customWidth="1"/>
    <col min="14852" max="14859" width="15.625" customWidth="1"/>
    <col min="14860" max="14860" width="14.375" customWidth="1"/>
    <col min="14861" max="14861" width="26.5" customWidth="1"/>
    <col min="15105" max="15105" width="41.875" customWidth="1"/>
    <col min="15106" max="15107" width="5.375" customWidth="1"/>
    <col min="15108" max="15115" width="15.625" customWidth="1"/>
    <col min="15116" max="15116" width="14.375" customWidth="1"/>
    <col min="15117" max="15117" width="26.5" customWidth="1"/>
    <col min="15361" max="15361" width="41.875" customWidth="1"/>
    <col min="15362" max="15363" width="5.375" customWidth="1"/>
    <col min="15364" max="15371" width="15.625" customWidth="1"/>
    <col min="15372" max="15372" width="14.375" customWidth="1"/>
    <col min="15373" max="15373" width="26.5" customWidth="1"/>
    <col min="15617" max="15617" width="41.875" customWidth="1"/>
    <col min="15618" max="15619" width="5.375" customWidth="1"/>
    <col min="15620" max="15627" width="15.625" customWidth="1"/>
    <col min="15628" max="15628" width="14.375" customWidth="1"/>
    <col min="15629" max="15629" width="26.5" customWidth="1"/>
    <col min="15873" max="15873" width="41.875" customWidth="1"/>
    <col min="15874" max="15875" width="5.375" customWidth="1"/>
    <col min="15876" max="15883" width="15.625" customWidth="1"/>
    <col min="15884" max="15884" width="14.375" customWidth="1"/>
    <col min="15885" max="15885" width="26.5" customWidth="1"/>
    <col min="16129" max="16129" width="41.875" customWidth="1"/>
    <col min="16130" max="16131" width="5.375" customWidth="1"/>
    <col min="16132" max="16139" width="15.625" customWidth="1"/>
    <col min="16140" max="16140" width="14.375" customWidth="1"/>
    <col min="16141" max="16141" width="26.5" customWidth="1"/>
  </cols>
  <sheetData>
    <row r="1" spans="1:13" ht="30" customHeight="1">
      <c r="A1" s="88" t="s">
        <v>513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41"/>
    </row>
    <row r="2" spans="1:13" ht="30" customHeight="1">
      <c r="A2" s="89" t="s">
        <v>539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41"/>
    </row>
    <row r="3" spans="1:13" ht="30" customHeight="1">
      <c r="A3" s="91" t="s">
        <v>514</v>
      </c>
      <c r="B3" s="91" t="s">
        <v>3</v>
      </c>
      <c r="C3" s="91" t="s">
        <v>4</v>
      </c>
      <c r="D3" s="91" t="s">
        <v>5</v>
      </c>
      <c r="E3" s="91"/>
      <c r="F3" s="91" t="s">
        <v>8</v>
      </c>
      <c r="G3" s="91"/>
      <c r="H3" s="91" t="s">
        <v>438</v>
      </c>
      <c r="I3" s="91"/>
      <c r="J3" s="91" t="s">
        <v>439</v>
      </c>
      <c r="K3" s="91"/>
      <c r="L3" s="91" t="s">
        <v>515</v>
      </c>
      <c r="M3" s="41"/>
    </row>
    <row r="4" spans="1:13" ht="30" customHeight="1">
      <c r="A4" s="91"/>
      <c r="B4" s="91"/>
      <c r="C4" s="91"/>
      <c r="D4" s="42" t="s">
        <v>516</v>
      </c>
      <c r="E4" s="42" t="s">
        <v>517</v>
      </c>
      <c r="F4" s="42" t="s">
        <v>516</v>
      </c>
      <c r="G4" s="42" t="s">
        <v>517</v>
      </c>
      <c r="H4" s="42" t="s">
        <v>516</v>
      </c>
      <c r="I4" s="42" t="s">
        <v>517</v>
      </c>
      <c r="J4" s="42" t="s">
        <v>516</v>
      </c>
      <c r="K4" s="42" t="s">
        <v>517</v>
      </c>
      <c r="L4" s="91"/>
      <c r="M4" s="41"/>
    </row>
    <row r="5" spans="1:13" ht="24" customHeight="1">
      <c r="A5" s="43" t="s">
        <v>518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1"/>
    </row>
    <row r="6" spans="1:13" s="48" customFormat="1" ht="24" customHeight="1">
      <c r="A6" s="44" t="s">
        <v>523</v>
      </c>
      <c r="B6" s="45" t="s">
        <v>519</v>
      </c>
      <c r="C6" s="46">
        <v>1</v>
      </c>
      <c r="D6" s="46"/>
      <c r="E6" s="46">
        <f>공종별집계표!F6</f>
        <v>0</v>
      </c>
      <c r="F6" s="46"/>
      <c r="G6" s="46">
        <f>공종별집계표!H6</f>
        <v>0</v>
      </c>
      <c r="H6" s="46"/>
      <c r="I6" s="46">
        <f>공종별집계표!J6</f>
        <v>0</v>
      </c>
      <c r="J6" s="46"/>
      <c r="K6" s="46">
        <f>E6+G6+I6</f>
        <v>0</v>
      </c>
      <c r="L6" s="46"/>
      <c r="M6" s="47"/>
    </row>
    <row r="7" spans="1:13" s="48" customFormat="1" ht="24" customHeight="1">
      <c r="A7" s="44" t="s">
        <v>524</v>
      </c>
      <c r="B7" s="45" t="s">
        <v>519</v>
      </c>
      <c r="C7" s="46">
        <v>1</v>
      </c>
      <c r="D7" s="46"/>
      <c r="E7" s="46">
        <f>공종별집계표!F16</f>
        <v>0</v>
      </c>
      <c r="F7" s="46"/>
      <c r="G7" s="46">
        <f>공종별집계표!H16</f>
        <v>0</v>
      </c>
      <c r="H7" s="46"/>
      <c r="I7" s="46">
        <f>공종별집계표!J16</f>
        <v>0</v>
      </c>
      <c r="J7" s="46"/>
      <c r="K7" s="46">
        <f>E7+G7+I7</f>
        <v>0</v>
      </c>
      <c r="L7" s="46"/>
      <c r="M7" s="47"/>
    </row>
    <row r="8" spans="1:13" s="48" customFormat="1" ht="24" customHeight="1">
      <c r="A8" s="44" t="s">
        <v>525</v>
      </c>
      <c r="B8" s="45" t="s">
        <v>519</v>
      </c>
      <c r="C8" s="46">
        <v>1</v>
      </c>
      <c r="D8" s="46"/>
      <c r="E8" s="46">
        <f>공종별집계표!F26</f>
        <v>0</v>
      </c>
      <c r="F8" s="46"/>
      <c r="G8" s="46">
        <f>공종별집계표!H26</f>
        <v>0</v>
      </c>
      <c r="H8" s="46"/>
      <c r="I8" s="46">
        <f>공종별집계표!J26</f>
        <v>0</v>
      </c>
      <c r="J8" s="46"/>
      <c r="K8" s="46">
        <f>E8+G8+I8</f>
        <v>0</v>
      </c>
      <c r="L8" s="46"/>
      <c r="M8" s="47"/>
    </row>
    <row r="9" spans="1:13" s="48" customFormat="1" ht="24" customHeight="1">
      <c r="A9" s="44" t="s">
        <v>538</v>
      </c>
      <c r="B9" s="45" t="s">
        <v>519</v>
      </c>
      <c r="C9" s="46">
        <v>1</v>
      </c>
      <c r="D9" s="46"/>
      <c r="E9" s="46">
        <f>공종별집계표!F35</f>
        <v>0</v>
      </c>
      <c r="F9" s="46"/>
      <c r="G9" s="46">
        <f>공종별집계표!H35</f>
        <v>0</v>
      </c>
      <c r="H9" s="46"/>
      <c r="I9" s="46">
        <f>공종별집계표!J35</f>
        <v>0</v>
      </c>
      <c r="J9" s="46"/>
      <c r="K9" s="46">
        <f t="shared" ref="K9" si="0">E9+G9+I9</f>
        <v>0</v>
      </c>
      <c r="L9" s="46"/>
      <c r="M9" s="47"/>
    </row>
    <row r="10" spans="1:13" s="48" customFormat="1" ht="24" customHeight="1">
      <c r="A10" s="44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13" s="48" customFormat="1" ht="24" customHeight="1">
      <c r="A11" s="44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7"/>
    </row>
    <row r="12" spans="1:13" s="48" customFormat="1" ht="24" customHeight="1">
      <c r="A12" s="44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7"/>
    </row>
    <row r="13" spans="1:13" s="48" customFormat="1" ht="24" customHeight="1">
      <c r="A13" s="49" t="s">
        <v>520</v>
      </c>
      <c r="B13" s="49"/>
      <c r="C13" s="49"/>
      <c r="D13" s="49"/>
      <c r="E13" s="49">
        <f>SUM(E6:E12)</f>
        <v>0</v>
      </c>
      <c r="F13" s="49"/>
      <c r="G13" s="49">
        <f>SUM(G6:G12)</f>
        <v>0</v>
      </c>
      <c r="H13" s="49"/>
      <c r="I13" s="49">
        <f>SUM(I6:I12)</f>
        <v>0</v>
      </c>
      <c r="J13" s="49"/>
      <c r="K13" s="49">
        <f>SUM(K6:K12)</f>
        <v>0</v>
      </c>
      <c r="L13" s="49"/>
    </row>
    <row r="14" spans="1:13" s="48" customFormat="1" ht="24" customHeight="1">
      <c r="A14" s="50"/>
      <c r="B14" s="51"/>
      <c r="C14" s="51"/>
      <c r="D14" s="51"/>
      <c r="E14" s="51"/>
      <c r="F14" s="51"/>
      <c r="G14" s="52"/>
      <c r="H14" s="51"/>
      <c r="I14" s="51"/>
      <c r="J14" s="51"/>
      <c r="K14" s="46">
        <f t="shared" ref="K14:K15" si="1">E14+G14+I14</f>
        <v>0</v>
      </c>
      <c r="L14" s="51"/>
    </row>
    <row r="15" spans="1:13" s="48" customFormat="1" ht="24" customHeight="1">
      <c r="A15" s="53" t="s">
        <v>521</v>
      </c>
      <c r="B15" s="46"/>
      <c r="C15" s="46"/>
      <c r="D15" s="46"/>
      <c r="E15" s="46"/>
      <c r="F15" s="46"/>
      <c r="G15" s="54"/>
      <c r="H15" s="46"/>
      <c r="I15" s="46"/>
      <c r="J15" s="46"/>
      <c r="K15" s="46">
        <f t="shared" si="1"/>
        <v>0</v>
      </c>
      <c r="L15" s="46"/>
    </row>
    <row r="16" spans="1:13" s="48" customFormat="1" ht="24" customHeight="1">
      <c r="A16" s="44" t="s">
        <v>523</v>
      </c>
      <c r="B16" s="45" t="s">
        <v>519</v>
      </c>
      <c r="C16" s="46">
        <v>1</v>
      </c>
      <c r="D16" s="46"/>
      <c r="E16" s="46">
        <f>공종별집계표!F15</f>
        <v>0</v>
      </c>
      <c r="F16" s="46"/>
      <c r="G16" s="46">
        <f>공종별집계표!H15</f>
        <v>0</v>
      </c>
      <c r="H16" s="46"/>
      <c r="I16" s="46">
        <f>공종별집계표!J15</f>
        <v>0</v>
      </c>
      <c r="J16" s="46"/>
      <c r="K16" s="46">
        <f>E16+G16+I16</f>
        <v>0</v>
      </c>
      <c r="L16" s="46"/>
      <c r="M16" s="47"/>
    </row>
    <row r="17" spans="1:13" s="48" customFormat="1" ht="24" customHeight="1">
      <c r="A17" s="44" t="s">
        <v>524</v>
      </c>
      <c r="B17" s="45" t="s">
        <v>519</v>
      </c>
      <c r="C17" s="46">
        <v>1</v>
      </c>
      <c r="D17" s="46"/>
      <c r="E17" s="46">
        <f>공종별집계표!F25</f>
        <v>0</v>
      </c>
      <c r="F17" s="46"/>
      <c r="G17" s="46">
        <f>공종별집계표!H25</f>
        <v>0</v>
      </c>
      <c r="H17" s="46"/>
      <c r="I17" s="46">
        <f>공종별집계표!J25</f>
        <v>0</v>
      </c>
      <c r="J17" s="46"/>
      <c r="K17" s="46">
        <f t="shared" ref="K17:K19" si="2">E17+G17+I17</f>
        <v>0</v>
      </c>
      <c r="L17" s="46"/>
      <c r="M17" s="47"/>
    </row>
    <row r="18" spans="1:13" s="48" customFormat="1" ht="24" customHeight="1">
      <c r="A18" s="44" t="s">
        <v>525</v>
      </c>
      <c r="B18" s="45" t="s">
        <v>519</v>
      </c>
      <c r="C18" s="46">
        <v>1</v>
      </c>
      <c r="D18" s="46"/>
      <c r="E18" s="46">
        <f>공종별집계표!F34</f>
        <v>0</v>
      </c>
      <c r="F18" s="46"/>
      <c r="G18" s="46">
        <f>공종별집계표!H34</f>
        <v>0</v>
      </c>
      <c r="H18" s="46"/>
      <c r="I18" s="46">
        <f>공종별집계표!J34</f>
        <v>0</v>
      </c>
      <c r="J18" s="46"/>
      <c r="K18" s="46">
        <f t="shared" si="2"/>
        <v>0</v>
      </c>
      <c r="L18" s="46"/>
      <c r="M18" s="47"/>
    </row>
    <row r="19" spans="1:13" s="48" customFormat="1" ht="24" customHeight="1">
      <c r="A19" s="44" t="s">
        <v>538</v>
      </c>
      <c r="B19" s="45" t="s">
        <v>519</v>
      </c>
      <c r="C19" s="46">
        <v>1</v>
      </c>
      <c r="D19" s="46"/>
      <c r="E19" s="46">
        <f>공종별집계표!F43</f>
        <v>0</v>
      </c>
      <c r="F19" s="46"/>
      <c r="G19" s="46">
        <f>공종별집계표!H43</f>
        <v>0</v>
      </c>
      <c r="H19" s="46"/>
      <c r="I19" s="46">
        <f>공종별집계표!J43</f>
        <v>0</v>
      </c>
      <c r="J19" s="46"/>
      <c r="K19" s="46">
        <f t="shared" si="2"/>
        <v>0</v>
      </c>
      <c r="L19" s="46"/>
      <c r="M19" s="47"/>
    </row>
    <row r="20" spans="1:13" s="48" customFormat="1" ht="24" customHeight="1">
      <c r="A20" s="44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7"/>
    </row>
    <row r="21" spans="1:13" s="48" customFormat="1" ht="24" customHeight="1">
      <c r="A21" s="44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7"/>
    </row>
    <row r="22" spans="1:13" s="48" customFormat="1" ht="24" customHeight="1">
      <c r="A22" s="44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7"/>
    </row>
    <row r="23" spans="1:13" s="48" customFormat="1" ht="24" customHeight="1">
      <c r="A23" s="49" t="s">
        <v>520</v>
      </c>
      <c r="B23" s="49"/>
      <c r="C23" s="49"/>
      <c r="D23" s="49"/>
      <c r="E23" s="49">
        <f>SUM(E16:E22)</f>
        <v>0</v>
      </c>
      <c r="F23" s="49"/>
      <c r="G23" s="49">
        <f>SUM(G16:G22)</f>
        <v>0</v>
      </c>
      <c r="H23" s="49"/>
      <c r="I23" s="49">
        <f>SUM(I16:I22)</f>
        <v>0</v>
      </c>
      <c r="J23" s="49"/>
      <c r="K23" s="49">
        <f>SUM(K16:K22)</f>
        <v>0</v>
      </c>
      <c r="L23" s="49"/>
      <c r="M23" s="47"/>
    </row>
    <row r="24" spans="1:13" s="56" customFormat="1" ht="24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5"/>
    </row>
    <row r="25" spans="1:13" s="58" customFormat="1" ht="24" customHeight="1">
      <c r="A25" s="60"/>
      <c r="B25" s="61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9"/>
    </row>
    <row r="26" spans="1:13" s="58" customFormat="1" ht="24" customHeight="1">
      <c r="A26" s="60"/>
      <c r="B26" s="61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9"/>
    </row>
    <row r="27" spans="1:13" s="58" customFormat="1" ht="24" customHeight="1">
      <c r="A27" s="60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</row>
    <row r="28" spans="1:13" s="58" customFormat="1" ht="24" customHeight="1">
      <c r="A28" s="44"/>
      <c r="B28" s="45"/>
      <c r="C28" s="46"/>
      <c r="D28" s="57"/>
      <c r="E28" s="57"/>
      <c r="F28" s="57"/>
      <c r="G28" s="57"/>
      <c r="H28" s="57"/>
      <c r="I28" s="57"/>
      <c r="J28" s="57"/>
      <c r="K28" s="46"/>
      <c r="L28" s="57"/>
      <c r="M28" s="59"/>
    </row>
    <row r="29" spans="1:13" s="58" customFormat="1" ht="24" customHeight="1">
      <c r="A29" s="60"/>
      <c r="B29" s="61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9"/>
    </row>
    <row r="30" spans="1:13" s="58" customFormat="1" ht="24" customHeight="1">
      <c r="A30" s="49" t="s">
        <v>520</v>
      </c>
      <c r="B30" s="49"/>
      <c r="C30" s="49"/>
      <c r="D30" s="49"/>
      <c r="E30" s="49">
        <f>SUM(E25:E29)</f>
        <v>0</v>
      </c>
      <c r="F30" s="49"/>
      <c r="G30" s="49">
        <f>SUM(G25:G29)</f>
        <v>0</v>
      </c>
      <c r="H30" s="49"/>
      <c r="I30" s="49">
        <f>SUM(I25:I29)</f>
        <v>0</v>
      </c>
      <c r="J30" s="49"/>
      <c r="K30" s="49">
        <f>SUM(K25:K29)</f>
        <v>0</v>
      </c>
      <c r="L30" s="49"/>
      <c r="M30" s="59"/>
    </row>
    <row r="31" spans="1:13" s="58" customFormat="1" ht="24" customHeight="1">
      <c r="A31" s="60"/>
      <c r="B31" s="57"/>
      <c r="C31" s="57"/>
      <c r="D31" s="57"/>
      <c r="E31" s="57"/>
      <c r="F31" s="57"/>
      <c r="G31" s="57"/>
      <c r="H31" s="57"/>
      <c r="I31" s="57"/>
      <c r="J31" s="57"/>
      <c r="K31" s="57">
        <f t="shared" ref="K31" si="3">E31+G31+I31</f>
        <v>0</v>
      </c>
      <c r="L31" s="57"/>
    </row>
    <row r="32" spans="1:13" s="58" customFormat="1" ht="24" customHeight="1">
      <c r="A32" s="60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</row>
    <row r="33" spans="1:256" s="58" customFormat="1" ht="24" customHeight="1">
      <c r="A33" s="62"/>
      <c r="B33" s="61"/>
      <c r="C33" s="57"/>
      <c r="D33" s="62"/>
      <c r="E33" s="62"/>
      <c r="F33" s="62"/>
      <c r="G33" s="62"/>
      <c r="H33" s="62"/>
      <c r="I33" s="62"/>
      <c r="J33" s="62"/>
      <c r="K33" s="57"/>
      <c r="L33" s="62"/>
      <c r="M33" s="59"/>
    </row>
    <row r="34" spans="1:256" s="58" customFormat="1" ht="24" customHeight="1">
      <c r="A34" s="62"/>
      <c r="B34" s="61"/>
      <c r="C34" s="57"/>
      <c r="D34" s="62"/>
      <c r="E34" s="62"/>
      <c r="F34" s="62"/>
      <c r="G34" s="62"/>
      <c r="H34" s="62"/>
      <c r="I34" s="62"/>
      <c r="J34" s="62"/>
      <c r="K34" s="57"/>
      <c r="L34" s="62"/>
      <c r="M34" s="59"/>
    </row>
    <row r="35" spans="1:256" s="58" customFormat="1" ht="24" customHeight="1">
      <c r="A35" s="62"/>
      <c r="B35" s="61"/>
      <c r="C35" s="57"/>
      <c r="D35" s="62"/>
      <c r="E35" s="62"/>
      <c r="F35" s="62"/>
      <c r="G35" s="62"/>
      <c r="H35" s="62"/>
      <c r="I35" s="62"/>
      <c r="J35" s="62"/>
      <c r="K35" s="57"/>
      <c r="L35" s="62"/>
      <c r="M35" s="59"/>
    </row>
    <row r="36" spans="1:256" s="58" customFormat="1" ht="24" customHeight="1">
      <c r="A36" s="62"/>
      <c r="B36" s="61"/>
      <c r="C36" s="57"/>
      <c r="D36" s="62"/>
      <c r="E36" s="62"/>
      <c r="F36" s="62"/>
      <c r="G36" s="62"/>
      <c r="H36" s="62"/>
      <c r="I36" s="62"/>
      <c r="J36" s="62"/>
      <c r="K36" s="57"/>
      <c r="L36" s="62"/>
      <c r="M36" s="59"/>
    </row>
    <row r="37" spans="1:256" s="41" customFormat="1" ht="24" customHeight="1">
      <c r="A37" s="49" t="s">
        <v>520</v>
      </c>
      <c r="B37" s="49"/>
      <c r="C37" s="49"/>
      <c r="D37" s="49"/>
      <c r="E37" s="49">
        <f>SUM(E33:E36)</f>
        <v>0</v>
      </c>
      <c r="F37" s="49"/>
      <c r="G37" s="49">
        <f>SUM(G33:G36)</f>
        <v>0</v>
      </c>
      <c r="H37" s="49"/>
      <c r="I37" s="49">
        <f>SUM(I33:I36)</f>
        <v>0</v>
      </c>
      <c r="J37" s="49"/>
      <c r="K37" s="49">
        <f>SUM(K33:K36)</f>
        <v>0</v>
      </c>
      <c r="L37" s="49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41" customFormat="1" ht="30" customHeight="1"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41" customFormat="1" ht="30" customHeight="1">
      <c r="A39" s="63" t="s">
        <v>522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s="48" customFormat="1" ht="30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</row>
    <row r="41" spans="1:256" s="48" customFormat="1" ht="30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spans="1:256" s="41" customFormat="1" ht="30" customHeight="1"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s="41" customFormat="1" ht="30" customHeight="1"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s="41" customFormat="1" ht="30" customHeight="1"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s="41" customFormat="1" ht="30" customHeight="1"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s="41" customFormat="1" ht="30" customHeight="1"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s="41" customFormat="1" ht="30" customHeight="1"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s="41" customFormat="1" ht="30" customHeight="1"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41" customFormat="1" ht="30" customHeight="1"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s="41" customFormat="1" ht="30" customHeight="1"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s="64" customFormat="1" ht="30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</row>
    <row r="52" spans="1:256" s="41" customFormat="1" hidden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s="41" customForma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</sheetData>
  <mergeCells count="10">
    <mergeCell ref="A1:L1"/>
    <mergeCell ref="A2:L2"/>
    <mergeCell ref="A3:A4"/>
    <mergeCell ref="B3:B4"/>
    <mergeCell ref="C3:C4"/>
    <mergeCell ref="D3:E3"/>
    <mergeCell ref="F3:G3"/>
    <mergeCell ref="H3:I3"/>
    <mergeCell ref="J3:K3"/>
    <mergeCell ref="L3:L4"/>
  </mergeCells>
  <phoneticPr fontId="1" type="noConversion"/>
  <printOptions horizontalCentered="1"/>
  <pageMargins left="0.78740157480314965" right="0" top="0.39370078740157483" bottom="0.39370078740157483" header="0.51181102362204722" footer="0.51181102362204722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4"/>
  <sheetViews>
    <sheetView view="pageBreakPreview" zoomScale="90" zoomScaleNormal="100" zoomScaleSheetLayoutView="90" workbookViewId="0">
      <selection activeCell="M28" sqref="M28"/>
    </sheetView>
  </sheetViews>
  <sheetFormatPr defaultRowHeight="16.5"/>
  <cols>
    <col min="1" max="1" width="37.5" customWidth="1"/>
    <col min="2" max="2" width="17.25" customWidth="1"/>
    <col min="3" max="4" width="4.625" customWidth="1"/>
    <col min="5" max="12" width="15" customWidth="1"/>
    <col min="13" max="13" width="10.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20" ht="30" customHeight="1">
      <c r="A2" s="93" t="s">
        <v>540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20" ht="30" customHeight="1">
      <c r="A3" s="94" t="s">
        <v>1</v>
      </c>
      <c r="B3" s="94" t="s">
        <v>2</v>
      </c>
      <c r="C3" s="94" t="s">
        <v>3</v>
      </c>
      <c r="D3" s="94" t="s">
        <v>4</v>
      </c>
      <c r="E3" s="94" t="s">
        <v>5</v>
      </c>
      <c r="F3" s="94"/>
      <c r="G3" s="94" t="s">
        <v>8</v>
      </c>
      <c r="H3" s="94"/>
      <c r="I3" s="94" t="s">
        <v>9</v>
      </c>
      <c r="J3" s="94"/>
      <c r="K3" s="94" t="s">
        <v>10</v>
      </c>
      <c r="L3" s="94"/>
      <c r="M3" s="94" t="s">
        <v>11</v>
      </c>
      <c r="N3" s="96" t="s">
        <v>12</v>
      </c>
      <c r="O3" s="96" t="s">
        <v>13</v>
      </c>
      <c r="P3" s="96" t="s">
        <v>14</v>
      </c>
      <c r="Q3" s="96" t="s">
        <v>15</v>
      </c>
      <c r="R3" s="96" t="s">
        <v>16</v>
      </c>
      <c r="S3" s="96" t="s">
        <v>17</v>
      </c>
      <c r="T3" s="96" t="s">
        <v>18</v>
      </c>
    </row>
    <row r="4" spans="1:20" ht="30" customHeight="1">
      <c r="A4" s="95"/>
      <c r="B4" s="95"/>
      <c r="C4" s="95"/>
      <c r="D4" s="95"/>
      <c r="E4" s="6" t="s">
        <v>6</v>
      </c>
      <c r="F4" s="6" t="s">
        <v>7</v>
      </c>
      <c r="G4" s="6" t="s">
        <v>6</v>
      </c>
      <c r="H4" s="6" t="s">
        <v>7</v>
      </c>
      <c r="I4" s="6" t="s">
        <v>6</v>
      </c>
      <c r="J4" s="6" t="s">
        <v>7</v>
      </c>
      <c r="K4" s="6" t="s">
        <v>6</v>
      </c>
      <c r="L4" s="6" t="s">
        <v>7</v>
      </c>
      <c r="M4" s="95"/>
      <c r="N4" s="96"/>
      <c r="O4" s="96"/>
      <c r="P4" s="96"/>
      <c r="Q4" s="96"/>
      <c r="R4" s="96"/>
      <c r="S4" s="96"/>
      <c r="T4" s="96"/>
    </row>
    <row r="5" spans="1:20" ht="30" customHeight="1">
      <c r="A5" s="10" t="s">
        <v>541</v>
      </c>
      <c r="B5" s="10" t="s">
        <v>50</v>
      </c>
      <c r="C5" s="10" t="s">
        <v>50</v>
      </c>
      <c r="D5" s="11">
        <v>1</v>
      </c>
      <c r="E5" s="12">
        <f>F6+F16+F26+F35</f>
        <v>0</v>
      </c>
      <c r="F5" s="12">
        <f t="shared" ref="F5:F43" si="0">E5*D5</f>
        <v>0</v>
      </c>
      <c r="G5" s="12">
        <f>H6+H16+H26+H35</f>
        <v>0</v>
      </c>
      <c r="H5" s="12">
        <f t="shared" ref="H5:H43" si="1">G5*D5</f>
        <v>0</v>
      </c>
      <c r="I5" s="12">
        <f>J6+J16+J26+J35</f>
        <v>0</v>
      </c>
      <c r="J5" s="12">
        <f t="shared" ref="J5:J43" si="2">I5*D5</f>
        <v>0</v>
      </c>
      <c r="K5" s="12">
        <f t="shared" ref="K5:K43" si="3">E5+G5+I5</f>
        <v>0</v>
      </c>
      <c r="L5" s="12">
        <f t="shared" ref="L5:L43" si="4">F5+H5+J5</f>
        <v>0</v>
      </c>
      <c r="M5" s="10" t="s">
        <v>50</v>
      </c>
      <c r="N5" s="4" t="s">
        <v>51</v>
      </c>
      <c r="O5" s="4" t="s">
        <v>50</v>
      </c>
      <c r="P5" s="4" t="s">
        <v>50</v>
      </c>
      <c r="Q5" s="4" t="s">
        <v>50</v>
      </c>
      <c r="R5" s="1">
        <v>1</v>
      </c>
      <c r="S5" s="4" t="s">
        <v>52</v>
      </c>
      <c r="T5" s="5"/>
    </row>
    <row r="6" spans="1:20" ht="30" customHeight="1">
      <c r="A6" s="13" t="s">
        <v>53</v>
      </c>
      <c r="B6" s="13" t="s">
        <v>50</v>
      </c>
      <c r="C6" s="13" t="s">
        <v>50</v>
      </c>
      <c r="D6" s="14">
        <v>1</v>
      </c>
      <c r="E6" s="15">
        <f>F7+F8+F9+F10+F11+F12+F13+F14</f>
        <v>0</v>
      </c>
      <c r="F6" s="15">
        <f t="shared" si="0"/>
        <v>0</v>
      </c>
      <c r="G6" s="15">
        <f>H7+H8+H9+H10+H11+H12+H13+H14</f>
        <v>0</v>
      </c>
      <c r="H6" s="15">
        <f t="shared" si="1"/>
        <v>0</v>
      </c>
      <c r="I6" s="15">
        <f>J7+J8+J9+J10+J11+J12+J13+J14</f>
        <v>0</v>
      </c>
      <c r="J6" s="15">
        <f t="shared" si="2"/>
        <v>0</v>
      </c>
      <c r="K6" s="15">
        <f t="shared" si="3"/>
        <v>0</v>
      </c>
      <c r="L6" s="15">
        <f t="shared" si="4"/>
        <v>0</v>
      </c>
      <c r="M6" s="13" t="s">
        <v>50</v>
      </c>
      <c r="N6" s="4" t="s">
        <v>54</v>
      </c>
      <c r="O6" s="4" t="s">
        <v>50</v>
      </c>
      <c r="P6" s="4" t="s">
        <v>51</v>
      </c>
      <c r="Q6" s="4" t="s">
        <v>50</v>
      </c>
      <c r="R6" s="1">
        <v>2</v>
      </c>
      <c r="S6" s="4" t="s">
        <v>50</v>
      </c>
      <c r="T6" s="5"/>
    </row>
    <row r="7" spans="1:20" ht="30" customHeight="1">
      <c r="A7" s="7" t="s">
        <v>55</v>
      </c>
      <c r="B7" s="7" t="s">
        <v>50</v>
      </c>
      <c r="C7" s="7" t="s">
        <v>50</v>
      </c>
      <c r="D7" s="8">
        <v>1</v>
      </c>
      <c r="E7" s="9">
        <f>공종별내역서!F27</f>
        <v>0</v>
      </c>
      <c r="F7" s="9">
        <f t="shared" si="0"/>
        <v>0</v>
      </c>
      <c r="G7" s="9">
        <f>공종별내역서!H27</f>
        <v>0</v>
      </c>
      <c r="H7" s="9">
        <f t="shared" si="1"/>
        <v>0</v>
      </c>
      <c r="I7" s="9">
        <f>공종별내역서!J27</f>
        <v>0</v>
      </c>
      <c r="J7" s="9">
        <f t="shared" si="2"/>
        <v>0</v>
      </c>
      <c r="K7" s="9">
        <f t="shared" si="3"/>
        <v>0</v>
      </c>
      <c r="L7" s="9">
        <f t="shared" si="4"/>
        <v>0</v>
      </c>
      <c r="M7" s="7" t="s">
        <v>50</v>
      </c>
      <c r="N7" s="4" t="s">
        <v>56</v>
      </c>
      <c r="O7" s="4" t="s">
        <v>50</v>
      </c>
      <c r="P7" s="4" t="s">
        <v>54</v>
      </c>
      <c r="Q7" s="4" t="s">
        <v>50</v>
      </c>
      <c r="R7" s="1">
        <v>3</v>
      </c>
      <c r="S7" s="4" t="s">
        <v>50</v>
      </c>
      <c r="T7" s="5"/>
    </row>
    <row r="8" spans="1:20" ht="30" customHeight="1">
      <c r="A8" s="7" t="s">
        <v>84</v>
      </c>
      <c r="B8" s="7" t="s">
        <v>50</v>
      </c>
      <c r="C8" s="7" t="s">
        <v>50</v>
      </c>
      <c r="D8" s="8">
        <v>1</v>
      </c>
      <c r="E8" s="9">
        <f>공종별내역서!F51</f>
        <v>0</v>
      </c>
      <c r="F8" s="9">
        <f t="shared" si="0"/>
        <v>0</v>
      </c>
      <c r="G8" s="9">
        <f>공종별내역서!H51</f>
        <v>0</v>
      </c>
      <c r="H8" s="9">
        <f t="shared" si="1"/>
        <v>0</v>
      </c>
      <c r="I8" s="9">
        <f>공종별내역서!J51</f>
        <v>0</v>
      </c>
      <c r="J8" s="9">
        <f t="shared" si="2"/>
        <v>0</v>
      </c>
      <c r="K8" s="9">
        <f t="shared" si="3"/>
        <v>0</v>
      </c>
      <c r="L8" s="9">
        <f t="shared" si="4"/>
        <v>0</v>
      </c>
      <c r="M8" s="7" t="s">
        <v>50</v>
      </c>
      <c r="N8" s="4" t="s">
        <v>85</v>
      </c>
      <c r="O8" s="4" t="s">
        <v>50</v>
      </c>
      <c r="P8" s="4" t="s">
        <v>54</v>
      </c>
      <c r="Q8" s="4" t="s">
        <v>50</v>
      </c>
      <c r="R8" s="1">
        <v>3</v>
      </c>
      <c r="S8" s="4" t="s">
        <v>50</v>
      </c>
      <c r="T8" s="5"/>
    </row>
    <row r="9" spans="1:20" ht="30" customHeight="1">
      <c r="A9" s="7" t="s">
        <v>115</v>
      </c>
      <c r="B9" s="7" t="s">
        <v>50</v>
      </c>
      <c r="C9" s="7" t="s">
        <v>50</v>
      </c>
      <c r="D9" s="8">
        <v>1</v>
      </c>
      <c r="E9" s="9">
        <f>공종별내역서!F74</f>
        <v>0</v>
      </c>
      <c r="F9" s="9">
        <f t="shared" si="0"/>
        <v>0</v>
      </c>
      <c r="G9" s="9">
        <f>공종별내역서!H74</f>
        <v>0</v>
      </c>
      <c r="H9" s="9">
        <f t="shared" si="1"/>
        <v>0</v>
      </c>
      <c r="I9" s="9">
        <f>공종별내역서!J74</f>
        <v>0</v>
      </c>
      <c r="J9" s="9">
        <f t="shared" si="2"/>
        <v>0</v>
      </c>
      <c r="K9" s="9">
        <f t="shared" si="3"/>
        <v>0</v>
      </c>
      <c r="L9" s="9">
        <f t="shared" si="4"/>
        <v>0</v>
      </c>
      <c r="M9" s="7" t="s">
        <v>50</v>
      </c>
      <c r="N9" s="4" t="s">
        <v>116</v>
      </c>
      <c r="O9" s="4" t="s">
        <v>50</v>
      </c>
      <c r="P9" s="4" t="s">
        <v>54</v>
      </c>
      <c r="Q9" s="4" t="s">
        <v>50</v>
      </c>
      <c r="R9" s="1">
        <v>3</v>
      </c>
      <c r="S9" s="4" t="s">
        <v>50</v>
      </c>
      <c r="T9" s="5"/>
    </row>
    <row r="10" spans="1:20" ht="30" customHeight="1">
      <c r="A10" s="7" t="s">
        <v>148</v>
      </c>
      <c r="B10" s="7" t="s">
        <v>50</v>
      </c>
      <c r="C10" s="7" t="s">
        <v>50</v>
      </c>
      <c r="D10" s="8">
        <v>1</v>
      </c>
      <c r="E10" s="9">
        <f>공종별내역서!F98</f>
        <v>0</v>
      </c>
      <c r="F10" s="9">
        <f t="shared" si="0"/>
        <v>0</v>
      </c>
      <c r="G10" s="9">
        <f>공종별내역서!H98</f>
        <v>0</v>
      </c>
      <c r="H10" s="9">
        <f t="shared" si="1"/>
        <v>0</v>
      </c>
      <c r="I10" s="9">
        <f>공종별내역서!J98</f>
        <v>0</v>
      </c>
      <c r="J10" s="9">
        <f t="shared" si="2"/>
        <v>0</v>
      </c>
      <c r="K10" s="9">
        <f t="shared" si="3"/>
        <v>0</v>
      </c>
      <c r="L10" s="9">
        <f t="shared" si="4"/>
        <v>0</v>
      </c>
      <c r="M10" s="7" t="s">
        <v>50</v>
      </c>
      <c r="N10" s="4" t="s">
        <v>149</v>
      </c>
      <c r="O10" s="4" t="s">
        <v>50</v>
      </c>
      <c r="P10" s="4" t="s">
        <v>54</v>
      </c>
      <c r="Q10" s="4" t="s">
        <v>50</v>
      </c>
      <c r="R10" s="1">
        <v>3</v>
      </c>
      <c r="S10" s="4" t="s">
        <v>50</v>
      </c>
      <c r="T10" s="5"/>
    </row>
    <row r="11" spans="1:20" ht="30" customHeight="1">
      <c r="A11" s="7" t="s">
        <v>179</v>
      </c>
      <c r="B11" s="7" t="s">
        <v>50</v>
      </c>
      <c r="C11" s="7" t="s">
        <v>50</v>
      </c>
      <c r="D11" s="8">
        <v>1</v>
      </c>
      <c r="E11" s="9">
        <f>공종별내역서!F122</f>
        <v>0</v>
      </c>
      <c r="F11" s="9">
        <f t="shared" si="0"/>
        <v>0</v>
      </c>
      <c r="G11" s="9">
        <f>공종별내역서!H122</f>
        <v>0</v>
      </c>
      <c r="H11" s="9">
        <f t="shared" si="1"/>
        <v>0</v>
      </c>
      <c r="I11" s="9">
        <f>공종별내역서!J122</f>
        <v>0</v>
      </c>
      <c r="J11" s="9">
        <f t="shared" si="2"/>
        <v>0</v>
      </c>
      <c r="K11" s="9">
        <f t="shared" si="3"/>
        <v>0</v>
      </c>
      <c r="L11" s="9">
        <f t="shared" si="4"/>
        <v>0</v>
      </c>
      <c r="M11" s="7" t="s">
        <v>50</v>
      </c>
      <c r="N11" s="4" t="s">
        <v>180</v>
      </c>
      <c r="O11" s="4" t="s">
        <v>50</v>
      </c>
      <c r="P11" s="4" t="s">
        <v>54</v>
      </c>
      <c r="Q11" s="4" t="s">
        <v>50</v>
      </c>
      <c r="R11" s="1">
        <v>3</v>
      </c>
      <c r="S11" s="4" t="s">
        <v>50</v>
      </c>
      <c r="T11" s="5"/>
    </row>
    <row r="12" spans="1:20" ht="30" customHeight="1">
      <c r="A12" s="7" t="s">
        <v>192</v>
      </c>
      <c r="B12" s="7" t="s">
        <v>50</v>
      </c>
      <c r="C12" s="7" t="s">
        <v>50</v>
      </c>
      <c r="D12" s="8">
        <v>1</v>
      </c>
      <c r="E12" s="9">
        <f>공종별내역서!F146</f>
        <v>0</v>
      </c>
      <c r="F12" s="9">
        <f t="shared" si="0"/>
        <v>0</v>
      </c>
      <c r="G12" s="9">
        <f>공종별내역서!H146</f>
        <v>0</v>
      </c>
      <c r="H12" s="9">
        <f t="shared" si="1"/>
        <v>0</v>
      </c>
      <c r="I12" s="9">
        <f>공종별내역서!J146</f>
        <v>0</v>
      </c>
      <c r="J12" s="9">
        <f t="shared" si="2"/>
        <v>0</v>
      </c>
      <c r="K12" s="9">
        <f t="shared" si="3"/>
        <v>0</v>
      </c>
      <c r="L12" s="9">
        <f t="shared" si="4"/>
        <v>0</v>
      </c>
      <c r="M12" s="7" t="s">
        <v>50</v>
      </c>
      <c r="N12" s="4" t="s">
        <v>193</v>
      </c>
      <c r="O12" s="4" t="s">
        <v>50</v>
      </c>
      <c r="P12" s="4" t="s">
        <v>54</v>
      </c>
      <c r="Q12" s="4" t="s">
        <v>50</v>
      </c>
      <c r="R12" s="1">
        <v>3</v>
      </c>
      <c r="S12" s="4" t="s">
        <v>50</v>
      </c>
      <c r="T12" s="5"/>
    </row>
    <row r="13" spans="1:20" ht="30" customHeight="1">
      <c r="A13" s="7" t="s">
        <v>197</v>
      </c>
      <c r="B13" s="7" t="s">
        <v>50</v>
      </c>
      <c r="C13" s="7" t="s">
        <v>50</v>
      </c>
      <c r="D13" s="8">
        <v>1</v>
      </c>
      <c r="E13" s="9">
        <f>공종별내역서!F170</f>
        <v>0</v>
      </c>
      <c r="F13" s="9">
        <f t="shared" si="0"/>
        <v>0</v>
      </c>
      <c r="G13" s="9">
        <f>공종별내역서!H170</f>
        <v>0</v>
      </c>
      <c r="H13" s="9">
        <f t="shared" si="1"/>
        <v>0</v>
      </c>
      <c r="I13" s="9">
        <f>공종별내역서!J170</f>
        <v>0</v>
      </c>
      <c r="J13" s="9">
        <f t="shared" si="2"/>
        <v>0</v>
      </c>
      <c r="K13" s="9">
        <f t="shared" si="3"/>
        <v>0</v>
      </c>
      <c r="L13" s="9">
        <f t="shared" si="4"/>
        <v>0</v>
      </c>
      <c r="M13" s="7" t="s">
        <v>50</v>
      </c>
      <c r="N13" s="4" t="s">
        <v>198</v>
      </c>
      <c r="O13" s="4" t="s">
        <v>50</v>
      </c>
      <c r="P13" s="4" t="s">
        <v>54</v>
      </c>
      <c r="Q13" s="4" t="s">
        <v>50</v>
      </c>
      <c r="R13" s="1">
        <v>3</v>
      </c>
      <c r="S13" s="4" t="s">
        <v>50</v>
      </c>
      <c r="T13" s="5"/>
    </row>
    <row r="14" spans="1:20" ht="30" customHeight="1">
      <c r="A14" s="7" t="s">
        <v>586</v>
      </c>
      <c r="B14" s="7" t="s">
        <v>50</v>
      </c>
      <c r="C14" s="7" t="s">
        <v>50</v>
      </c>
      <c r="D14" s="8">
        <v>1</v>
      </c>
      <c r="E14" s="9">
        <f>공종별내역서!F194</f>
        <v>0</v>
      </c>
      <c r="F14" s="9">
        <f t="shared" si="0"/>
        <v>0</v>
      </c>
      <c r="G14" s="9">
        <f>공종별내역서!H194</f>
        <v>0</v>
      </c>
      <c r="H14" s="9">
        <f t="shared" si="1"/>
        <v>0</v>
      </c>
      <c r="I14" s="9">
        <f>공종별내역서!J194</f>
        <v>0</v>
      </c>
      <c r="J14" s="9">
        <f t="shared" si="2"/>
        <v>0</v>
      </c>
      <c r="K14" s="9">
        <f t="shared" si="3"/>
        <v>0</v>
      </c>
      <c r="L14" s="9">
        <f t="shared" si="4"/>
        <v>0</v>
      </c>
      <c r="M14" s="7" t="s">
        <v>50</v>
      </c>
      <c r="N14" s="4" t="s">
        <v>204</v>
      </c>
      <c r="O14" s="4" t="s">
        <v>50</v>
      </c>
      <c r="P14" s="4" t="s">
        <v>54</v>
      </c>
      <c r="Q14" s="4" t="s">
        <v>50</v>
      </c>
      <c r="R14" s="1">
        <v>3</v>
      </c>
      <c r="S14" s="4" t="s">
        <v>50</v>
      </c>
      <c r="T14" s="5"/>
    </row>
    <row r="15" spans="1:20" ht="30" customHeight="1">
      <c r="A15" s="16" t="s">
        <v>213</v>
      </c>
      <c r="B15" s="16" t="s">
        <v>50</v>
      </c>
      <c r="C15" s="16" t="s">
        <v>50</v>
      </c>
      <c r="D15" s="17">
        <v>1</v>
      </c>
      <c r="E15" s="18">
        <f>공종별내역서!F218</f>
        <v>0</v>
      </c>
      <c r="F15" s="18">
        <f t="shared" si="0"/>
        <v>0</v>
      </c>
      <c r="G15" s="18">
        <f>공종별내역서!H218</f>
        <v>0</v>
      </c>
      <c r="H15" s="18">
        <f t="shared" si="1"/>
        <v>0</v>
      </c>
      <c r="I15" s="18">
        <f>공종별내역서!J218</f>
        <v>0</v>
      </c>
      <c r="J15" s="18">
        <f t="shared" si="2"/>
        <v>0</v>
      </c>
      <c r="K15" s="18">
        <f t="shared" si="3"/>
        <v>0</v>
      </c>
      <c r="L15" s="18">
        <f t="shared" si="4"/>
        <v>0</v>
      </c>
      <c r="M15" s="16" t="s">
        <v>50</v>
      </c>
      <c r="N15" s="4" t="s">
        <v>214</v>
      </c>
      <c r="O15" s="4" t="s">
        <v>50</v>
      </c>
      <c r="P15" s="4" t="s">
        <v>50</v>
      </c>
      <c r="Q15" s="4" t="s">
        <v>52</v>
      </c>
      <c r="R15" s="1">
        <v>3</v>
      </c>
      <c r="S15" s="4" t="s">
        <v>50</v>
      </c>
      <c r="T15" s="5">
        <f>L15*1</f>
        <v>0</v>
      </c>
    </row>
    <row r="16" spans="1:20" ht="30" customHeight="1">
      <c r="A16" s="13" t="s">
        <v>220</v>
      </c>
      <c r="B16" s="13" t="s">
        <v>50</v>
      </c>
      <c r="C16" s="13" t="s">
        <v>50</v>
      </c>
      <c r="D16" s="14">
        <v>1</v>
      </c>
      <c r="E16" s="15">
        <f>F17+F18+F19+F20+F21+F22+F23+F24</f>
        <v>0</v>
      </c>
      <c r="F16" s="15">
        <f t="shared" si="0"/>
        <v>0</v>
      </c>
      <c r="G16" s="15">
        <f>H17+H18+H19+H20+H21+H22+H23+H24</f>
        <v>0</v>
      </c>
      <c r="H16" s="15">
        <f t="shared" si="1"/>
        <v>0</v>
      </c>
      <c r="I16" s="15">
        <f>J17+J18+J19+J20+J21+J22+J23+J24</f>
        <v>0</v>
      </c>
      <c r="J16" s="15">
        <f t="shared" si="2"/>
        <v>0</v>
      </c>
      <c r="K16" s="15">
        <f t="shared" si="3"/>
        <v>0</v>
      </c>
      <c r="L16" s="15">
        <f t="shared" si="4"/>
        <v>0</v>
      </c>
      <c r="M16" s="13" t="s">
        <v>50</v>
      </c>
      <c r="N16" s="4" t="s">
        <v>221</v>
      </c>
      <c r="O16" s="4" t="s">
        <v>50</v>
      </c>
      <c r="P16" s="4" t="s">
        <v>51</v>
      </c>
      <c r="Q16" s="4" t="s">
        <v>50</v>
      </c>
      <c r="R16" s="1">
        <v>2</v>
      </c>
      <c r="S16" s="4" t="s">
        <v>50</v>
      </c>
      <c r="T16" s="5"/>
    </row>
    <row r="17" spans="1:20" ht="30" customHeight="1">
      <c r="A17" s="7" t="s">
        <v>222</v>
      </c>
      <c r="B17" s="7" t="s">
        <v>50</v>
      </c>
      <c r="C17" s="7" t="s">
        <v>50</v>
      </c>
      <c r="D17" s="8">
        <v>1</v>
      </c>
      <c r="E17" s="9">
        <f>공종별내역서!F242</f>
        <v>0</v>
      </c>
      <c r="F17" s="9">
        <f t="shared" si="0"/>
        <v>0</v>
      </c>
      <c r="G17" s="9">
        <f>공종별내역서!H242</f>
        <v>0</v>
      </c>
      <c r="H17" s="9">
        <f t="shared" si="1"/>
        <v>0</v>
      </c>
      <c r="I17" s="9">
        <f>공종별내역서!J242</f>
        <v>0</v>
      </c>
      <c r="J17" s="9">
        <f t="shared" si="2"/>
        <v>0</v>
      </c>
      <c r="K17" s="9">
        <f t="shared" si="3"/>
        <v>0</v>
      </c>
      <c r="L17" s="9">
        <f t="shared" si="4"/>
        <v>0</v>
      </c>
      <c r="M17" s="7" t="s">
        <v>50</v>
      </c>
      <c r="N17" s="4" t="s">
        <v>223</v>
      </c>
      <c r="O17" s="4" t="s">
        <v>50</v>
      </c>
      <c r="P17" s="4" t="s">
        <v>221</v>
      </c>
      <c r="Q17" s="4" t="s">
        <v>50</v>
      </c>
      <c r="R17" s="1">
        <v>3</v>
      </c>
      <c r="S17" s="4" t="s">
        <v>50</v>
      </c>
      <c r="T17" s="5"/>
    </row>
    <row r="18" spans="1:20" ht="30" customHeight="1">
      <c r="A18" s="7" t="s">
        <v>227</v>
      </c>
      <c r="B18" s="7" t="s">
        <v>50</v>
      </c>
      <c r="C18" s="7" t="s">
        <v>50</v>
      </c>
      <c r="D18" s="8">
        <v>1</v>
      </c>
      <c r="E18" s="9">
        <f>공종별내역서!F266</f>
        <v>0</v>
      </c>
      <c r="F18" s="9">
        <f t="shared" si="0"/>
        <v>0</v>
      </c>
      <c r="G18" s="9">
        <f>공종별내역서!H266</f>
        <v>0</v>
      </c>
      <c r="H18" s="9">
        <f t="shared" si="1"/>
        <v>0</v>
      </c>
      <c r="I18" s="9">
        <f>공종별내역서!J266</f>
        <v>0</v>
      </c>
      <c r="J18" s="9">
        <f t="shared" si="2"/>
        <v>0</v>
      </c>
      <c r="K18" s="9">
        <f t="shared" si="3"/>
        <v>0</v>
      </c>
      <c r="L18" s="9">
        <f t="shared" si="4"/>
        <v>0</v>
      </c>
      <c r="M18" s="7" t="s">
        <v>50</v>
      </c>
      <c r="N18" s="4" t="s">
        <v>228</v>
      </c>
      <c r="O18" s="4" t="s">
        <v>50</v>
      </c>
      <c r="P18" s="4" t="s">
        <v>221</v>
      </c>
      <c r="Q18" s="4" t="s">
        <v>50</v>
      </c>
      <c r="R18" s="1">
        <v>3</v>
      </c>
      <c r="S18" s="4" t="s">
        <v>50</v>
      </c>
      <c r="T18" s="5"/>
    </row>
    <row r="19" spans="1:20" ht="30" customHeight="1">
      <c r="A19" s="7" t="s">
        <v>237</v>
      </c>
      <c r="B19" s="7" t="s">
        <v>50</v>
      </c>
      <c r="C19" s="7" t="s">
        <v>50</v>
      </c>
      <c r="D19" s="8">
        <v>1</v>
      </c>
      <c r="E19" s="9">
        <f>공종별내역서!F290</f>
        <v>0</v>
      </c>
      <c r="F19" s="9">
        <f t="shared" si="0"/>
        <v>0</v>
      </c>
      <c r="G19" s="9">
        <f>공종별내역서!H290</f>
        <v>0</v>
      </c>
      <c r="H19" s="9">
        <f t="shared" si="1"/>
        <v>0</v>
      </c>
      <c r="I19" s="9">
        <f>공종별내역서!J290</f>
        <v>0</v>
      </c>
      <c r="J19" s="9">
        <f t="shared" si="2"/>
        <v>0</v>
      </c>
      <c r="K19" s="9">
        <f t="shared" si="3"/>
        <v>0</v>
      </c>
      <c r="L19" s="9">
        <f t="shared" si="4"/>
        <v>0</v>
      </c>
      <c r="M19" s="7" t="s">
        <v>50</v>
      </c>
      <c r="N19" s="4" t="s">
        <v>238</v>
      </c>
      <c r="O19" s="4" t="s">
        <v>50</v>
      </c>
      <c r="P19" s="4" t="s">
        <v>221</v>
      </c>
      <c r="Q19" s="4" t="s">
        <v>50</v>
      </c>
      <c r="R19" s="1">
        <v>3</v>
      </c>
      <c r="S19" s="4" t="s">
        <v>50</v>
      </c>
      <c r="T19" s="5"/>
    </row>
    <row r="20" spans="1:20" ht="30" customHeight="1">
      <c r="A20" s="7" t="s">
        <v>247</v>
      </c>
      <c r="B20" s="7" t="s">
        <v>50</v>
      </c>
      <c r="C20" s="7" t="s">
        <v>50</v>
      </c>
      <c r="D20" s="8">
        <v>1</v>
      </c>
      <c r="E20" s="9">
        <f>공종별내역서!F314</f>
        <v>0</v>
      </c>
      <c r="F20" s="9">
        <f t="shared" si="0"/>
        <v>0</v>
      </c>
      <c r="G20" s="9">
        <f>공종별내역서!H314</f>
        <v>0</v>
      </c>
      <c r="H20" s="9">
        <f t="shared" si="1"/>
        <v>0</v>
      </c>
      <c r="I20" s="9">
        <f>공종별내역서!J314</f>
        <v>0</v>
      </c>
      <c r="J20" s="9">
        <f t="shared" si="2"/>
        <v>0</v>
      </c>
      <c r="K20" s="9">
        <f t="shared" si="3"/>
        <v>0</v>
      </c>
      <c r="L20" s="9">
        <f t="shared" si="4"/>
        <v>0</v>
      </c>
      <c r="M20" s="7" t="s">
        <v>50</v>
      </c>
      <c r="N20" s="4" t="s">
        <v>248</v>
      </c>
      <c r="O20" s="4" t="s">
        <v>50</v>
      </c>
      <c r="P20" s="4" t="s">
        <v>221</v>
      </c>
      <c r="Q20" s="4" t="s">
        <v>50</v>
      </c>
      <c r="R20" s="1">
        <v>3</v>
      </c>
      <c r="S20" s="4" t="s">
        <v>50</v>
      </c>
      <c r="T20" s="5"/>
    </row>
    <row r="21" spans="1:20" ht="30" customHeight="1">
      <c r="A21" s="7" t="s">
        <v>256</v>
      </c>
      <c r="B21" s="7" t="s">
        <v>50</v>
      </c>
      <c r="C21" s="7" t="s">
        <v>50</v>
      </c>
      <c r="D21" s="8">
        <v>1</v>
      </c>
      <c r="E21" s="9">
        <f>공종별내역서!F338</f>
        <v>0</v>
      </c>
      <c r="F21" s="9">
        <f t="shared" si="0"/>
        <v>0</v>
      </c>
      <c r="G21" s="9">
        <f>공종별내역서!H338</f>
        <v>0</v>
      </c>
      <c r="H21" s="9">
        <f t="shared" si="1"/>
        <v>0</v>
      </c>
      <c r="I21" s="9">
        <f>공종별내역서!J338</f>
        <v>0</v>
      </c>
      <c r="J21" s="9">
        <f t="shared" si="2"/>
        <v>0</v>
      </c>
      <c r="K21" s="9">
        <f t="shared" si="3"/>
        <v>0</v>
      </c>
      <c r="L21" s="9">
        <f t="shared" si="4"/>
        <v>0</v>
      </c>
      <c r="M21" s="7" t="s">
        <v>50</v>
      </c>
      <c r="N21" s="4" t="s">
        <v>257</v>
      </c>
      <c r="O21" s="4" t="s">
        <v>50</v>
      </c>
      <c r="P21" s="4" t="s">
        <v>221</v>
      </c>
      <c r="Q21" s="4" t="s">
        <v>50</v>
      </c>
      <c r="R21" s="1">
        <v>3</v>
      </c>
      <c r="S21" s="4" t="s">
        <v>50</v>
      </c>
      <c r="T21" s="5"/>
    </row>
    <row r="22" spans="1:20" ht="30" customHeight="1">
      <c r="A22" s="7" t="s">
        <v>261</v>
      </c>
      <c r="B22" s="7" t="s">
        <v>50</v>
      </c>
      <c r="C22" s="7" t="s">
        <v>50</v>
      </c>
      <c r="D22" s="8">
        <v>1</v>
      </c>
      <c r="E22" s="9">
        <f>공종별내역서!F362</f>
        <v>0</v>
      </c>
      <c r="F22" s="9">
        <f t="shared" si="0"/>
        <v>0</v>
      </c>
      <c r="G22" s="9">
        <f>공종별내역서!H362</f>
        <v>0</v>
      </c>
      <c r="H22" s="9">
        <f t="shared" si="1"/>
        <v>0</v>
      </c>
      <c r="I22" s="9">
        <f>공종별내역서!J362</f>
        <v>0</v>
      </c>
      <c r="J22" s="9">
        <f t="shared" si="2"/>
        <v>0</v>
      </c>
      <c r="K22" s="9">
        <f t="shared" si="3"/>
        <v>0</v>
      </c>
      <c r="L22" s="9">
        <f t="shared" si="4"/>
        <v>0</v>
      </c>
      <c r="M22" s="7" t="s">
        <v>50</v>
      </c>
      <c r="N22" s="4" t="s">
        <v>262</v>
      </c>
      <c r="O22" s="4" t="s">
        <v>50</v>
      </c>
      <c r="P22" s="4" t="s">
        <v>221</v>
      </c>
      <c r="Q22" s="4" t="s">
        <v>50</v>
      </c>
      <c r="R22" s="1">
        <v>3</v>
      </c>
      <c r="S22" s="4" t="s">
        <v>50</v>
      </c>
      <c r="T22" s="5"/>
    </row>
    <row r="23" spans="1:20" ht="30" customHeight="1">
      <c r="A23" s="7" t="s">
        <v>264</v>
      </c>
      <c r="B23" s="7" t="s">
        <v>50</v>
      </c>
      <c r="C23" s="7" t="s">
        <v>50</v>
      </c>
      <c r="D23" s="8">
        <v>1</v>
      </c>
      <c r="E23" s="9">
        <f>공종별내역서!F386</f>
        <v>0</v>
      </c>
      <c r="F23" s="9">
        <f t="shared" si="0"/>
        <v>0</v>
      </c>
      <c r="G23" s="9">
        <f>공종별내역서!H386</f>
        <v>0</v>
      </c>
      <c r="H23" s="9">
        <f t="shared" si="1"/>
        <v>0</v>
      </c>
      <c r="I23" s="9">
        <f>공종별내역서!J386</f>
        <v>0</v>
      </c>
      <c r="J23" s="9">
        <f t="shared" si="2"/>
        <v>0</v>
      </c>
      <c r="K23" s="9">
        <f t="shared" si="3"/>
        <v>0</v>
      </c>
      <c r="L23" s="9">
        <f t="shared" si="4"/>
        <v>0</v>
      </c>
      <c r="M23" s="7" t="s">
        <v>50</v>
      </c>
      <c r="N23" s="4" t="s">
        <v>265</v>
      </c>
      <c r="O23" s="4" t="s">
        <v>50</v>
      </c>
      <c r="P23" s="4" t="s">
        <v>221</v>
      </c>
      <c r="Q23" s="4" t="s">
        <v>50</v>
      </c>
      <c r="R23" s="1">
        <v>3</v>
      </c>
      <c r="S23" s="4" t="s">
        <v>50</v>
      </c>
      <c r="T23" s="5"/>
    </row>
    <row r="24" spans="1:20" ht="30" customHeight="1">
      <c r="A24" s="7" t="s">
        <v>587</v>
      </c>
      <c r="B24" s="7" t="s">
        <v>50</v>
      </c>
      <c r="C24" s="7" t="s">
        <v>50</v>
      </c>
      <c r="D24" s="8">
        <v>1</v>
      </c>
      <c r="E24" s="9">
        <f>공종별내역서!F410</f>
        <v>0</v>
      </c>
      <c r="F24" s="9">
        <f t="shared" si="0"/>
        <v>0</v>
      </c>
      <c r="G24" s="9">
        <f>공종별내역서!H410</f>
        <v>0</v>
      </c>
      <c r="H24" s="9">
        <f t="shared" si="1"/>
        <v>0</v>
      </c>
      <c r="I24" s="9">
        <f>공종별내역서!J410</f>
        <v>0</v>
      </c>
      <c r="J24" s="9">
        <f t="shared" si="2"/>
        <v>0</v>
      </c>
      <c r="K24" s="9">
        <f t="shared" si="3"/>
        <v>0</v>
      </c>
      <c r="L24" s="9">
        <f t="shared" si="4"/>
        <v>0</v>
      </c>
      <c r="M24" s="7" t="s">
        <v>50</v>
      </c>
      <c r="N24" s="4" t="s">
        <v>268</v>
      </c>
      <c r="O24" s="4" t="s">
        <v>50</v>
      </c>
      <c r="P24" s="4" t="s">
        <v>221</v>
      </c>
      <c r="Q24" s="4" t="s">
        <v>50</v>
      </c>
      <c r="R24" s="1">
        <v>3</v>
      </c>
      <c r="S24" s="4" t="s">
        <v>50</v>
      </c>
      <c r="T24" s="5"/>
    </row>
    <row r="25" spans="1:20" ht="30" customHeight="1">
      <c r="A25" s="16" t="s">
        <v>271</v>
      </c>
      <c r="B25" s="16" t="s">
        <v>50</v>
      </c>
      <c r="C25" s="16" t="s">
        <v>50</v>
      </c>
      <c r="D25" s="17">
        <v>1</v>
      </c>
      <c r="E25" s="18">
        <f>공종별내역서!F434</f>
        <v>0</v>
      </c>
      <c r="F25" s="18">
        <f t="shared" si="0"/>
        <v>0</v>
      </c>
      <c r="G25" s="18">
        <f>공종별내역서!H434</f>
        <v>0</v>
      </c>
      <c r="H25" s="18">
        <f t="shared" si="1"/>
        <v>0</v>
      </c>
      <c r="I25" s="18">
        <f>공종별내역서!J434</f>
        <v>0</v>
      </c>
      <c r="J25" s="18">
        <f t="shared" si="2"/>
        <v>0</v>
      </c>
      <c r="K25" s="18">
        <f t="shared" si="3"/>
        <v>0</v>
      </c>
      <c r="L25" s="18">
        <f t="shared" si="4"/>
        <v>0</v>
      </c>
      <c r="M25" s="16" t="s">
        <v>50</v>
      </c>
      <c r="N25" s="4" t="s">
        <v>272</v>
      </c>
      <c r="O25" s="4" t="s">
        <v>50</v>
      </c>
      <c r="P25" s="4" t="s">
        <v>50</v>
      </c>
      <c r="Q25" s="4" t="s">
        <v>52</v>
      </c>
      <c r="R25" s="1">
        <v>3</v>
      </c>
      <c r="S25" s="4" t="s">
        <v>50</v>
      </c>
      <c r="T25" s="5">
        <f>L25*1</f>
        <v>0</v>
      </c>
    </row>
    <row r="26" spans="1:20" ht="30" customHeight="1">
      <c r="A26" s="13" t="s">
        <v>274</v>
      </c>
      <c r="B26" s="13" t="s">
        <v>50</v>
      </c>
      <c r="C26" s="13" t="s">
        <v>50</v>
      </c>
      <c r="D26" s="14">
        <v>1</v>
      </c>
      <c r="E26" s="15">
        <f>F27+F28+F29+F30+F31+F32+F33</f>
        <v>0</v>
      </c>
      <c r="F26" s="15">
        <f t="shared" si="0"/>
        <v>0</v>
      </c>
      <c r="G26" s="15">
        <f>H27+H28+H29+H30+H31+H32+H33</f>
        <v>0</v>
      </c>
      <c r="H26" s="15">
        <f t="shared" si="1"/>
        <v>0</v>
      </c>
      <c r="I26" s="15">
        <f>J27+J28+J29+J30+J31+J32+J33</f>
        <v>0</v>
      </c>
      <c r="J26" s="15">
        <f t="shared" si="2"/>
        <v>0</v>
      </c>
      <c r="K26" s="15">
        <f t="shared" si="3"/>
        <v>0</v>
      </c>
      <c r="L26" s="15">
        <f t="shared" si="4"/>
        <v>0</v>
      </c>
      <c r="M26" s="13" t="s">
        <v>50</v>
      </c>
      <c r="N26" s="4" t="s">
        <v>275</v>
      </c>
      <c r="O26" s="4" t="s">
        <v>50</v>
      </c>
      <c r="P26" s="4" t="s">
        <v>51</v>
      </c>
      <c r="Q26" s="4" t="s">
        <v>50</v>
      </c>
      <c r="R26" s="1">
        <v>2</v>
      </c>
      <c r="S26" s="4" t="s">
        <v>50</v>
      </c>
      <c r="T26" s="5"/>
    </row>
    <row r="27" spans="1:20" ht="30" customHeight="1">
      <c r="A27" s="7" t="s">
        <v>276</v>
      </c>
      <c r="B27" s="7" t="s">
        <v>50</v>
      </c>
      <c r="C27" s="7" t="s">
        <v>50</v>
      </c>
      <c r="D27" s="8">
        <v>1</v>
      </c>
      <c r="E27" s="9">
        <f>공종별내역서!F458</f>
        <v>0</v>
      </c>
      <c r="F27" s="9">
        <f t="shared" si="0"/>
        <v>0</v>
      </c>
      <c r="G27" s="9">
        <f>공종별내역서!H458</f>
        <v>0</v>
      </c>
      <c r="H27" s="9">
        <f t="shared" si="1"/>
        <v>0</v>
      </c>
      <c r="I27" s="9">
        <f>공종별내역서!J458</f>
        <v>0</v>
      </c>
      <c r="J27" s="9">
        <f t="shared" si="2"/>
        <v>0</v>
      </c>
      <c r="K27" s="9">
        <f t="shared" si="3"/>
        <v>0</v>
      </c>
      <c r="L27" s="9">
        <f t="shared" si="4"/>
        <v>0</v>
      </c>
      <c r="M27" s="7" t="s">
        <v>50</v>
      </c>
      <c r="N27" s="4" t="s">
        <v>277</v>
      </c>
      <c r="O27" s="4" t="s">
        <v>50</v>
      </c>
      <c r="P27" s="4" t="s">
        <v>275</v>
      </c>
      <c r="Q27" s="4" t="s">
        <v>50</v>
      </c>
      <c r="R27" s="1">
        <v>3</v>
      </c>
      <c r="S27" s="4" t="s">
        <v>50</v>
      </c>
      <c r="T27" s="5"/>
    </row>
    <row r="28" spans="1:20" ht="30" customHeight="1">
      <c r="A28" s="7" t="s">
        <v>286</v>
      </c>
      <c r="B28" s="7" t="s">
        <v>50</v>
      </c>
      <c r="C28" s="7" t="s">
        <v>50</v>
      </c>
      <c r="D28" s="8">
        <v>1</v>
      </c>
      <c r="E28" s="9">
        <f>공종별내역서!F482</f>
        <v>0</v>
      </c>
      <c r="F28" s="9">
        <f t="shared" si="0"/>
        <v>0</v>
      </c>
      <c r="G28" s="9">
        <f>공종별내역서!H482</f>
        <v>0</v>
      </c>
      <c r="H28" s="9">
        <f t="shared" si="1"/>
        <v>0</v>
      </c>
      <c r="I28" s="9">
        <f>공종별내역서!J482</f>
        <v>0</v>
      </c>
      <c r="J28" s="9">
        <f t="shared" si="2"/>
        <v>0</v>
      </c>
      <c r="K28" s="9">
        <f t="shared" si="3"/>
        <v>0</v>
      </c>
      <c r="L28" s="9">
        <f t="shared" si="4"/>
        <v>0</v>
      </c>
      <c r="M28" s="7" t="s">
        <v>50</v>
      </c>
      <c r="N28" s="4" t="s">
        <v>287</v>
      </c>
      <c r="O28" s="4" t="s">
        <v>50</v>
      </c>
      <c r="P28" s="4" t="s">
        <v>275</v>
      </c>
      <c r="Q28" s="4" t="s">
        <v>50</v>
      </c>
      <c r="R28" s="1">
        <v>3</v>
      </c>
      <c r="S28" s="4" t="s">
        <v>50</v>
      </c>
      <c r="T28" s="5"/>
    </row>
    <row r="29" spans="1:20" ht="30" customHeight="1">
      <c r="A29" s="7" t="s">
        <v>311</v>
      </c>
      <c r="B29" s="7" t="s">
        <v>50</v>
      </c>
      <c r="C29" s="7" t="s">
        <v>50</v>
      </c>
      <c r="D29" s="8">
        <v>1</v>
      </c>
      <c r="E29" s="9">
        <f>공종별내역서!F506</f>
        <v>0</v>
      </c>
      <c r="F29" s="9">
        <f t="shared" si="0"/>
        <v>0</v>
      </c>
      <c r="G29" s="9">
        <f>공종별내역서!H506</f>
        <v>0</v>
      </c>
      <c r="H29" s="9">
        <f t="shared" si="1"/>
        <v>0</v>
      </c>
      <c r="I29" s="9">
        <f>공종별내역서!J506</f>
        <v>0</v>
      </c>
      <c r="J29" s="9">
        <f t="shared" si="2"/>
        <v>0</v>
      </c>
      <c r="K29" s="9">
        <f t="shared" si="3"/>
        <v>0</v>
      </c>
      <c r="L29" s="9">
        <f t="shared" si="4"/>
        <v>0</v>
      </c>
      <c r="M29" s="7" t="s">
        <v>50</v>
      </c>
      <c r="N29" s="4" t="s">
        <v>312</v>
      </c>
      <c r="O29" s="4" t="s">
        <v>50</v>
      </c>
      <c r="P29" s="4" t="s">
        <v>275</v>
      </c>
      <c r="Q29" s="4" t="s">
        <v>50</v>
      </c>
      <c r="R29" s="1">
        <v>3</v>
      </c>
      <c r="S29" s="4" t="s">
        <v>50</v>
      </c>
      <c r="T29" s="5"/>
    </row>
    <row r="30" spans="1:20" ht="30" customHeight="1">
      <c r="A30" s="7" t="s">
        <v>322</v>
      </c>
      <c r="B30" s="7" t="s">
        <v>50</v>
      </c>
      <c r="C30" s="7" t="s">
        <v>50</v>
      </c>
      <c r="D30" s="8">
        <v>1</v>
      </c>
      <c r="E30" s="9">
        <f>공종별내역서!F530</f>
        <v>0</v>
      </c>
      <c r="F30" s="9">
        <f t="shared" si="0"/>
        <v>0</v>
      </c>
      <c r="G30" s="9">
        <f>공종별내역서!H530</f>
        <v>0</v>
      </c>
      <c r="H30" s="9">
        <f t="shared" si="1"/>
        <v>0</v>
      </c>
      <c r="I30" s="9">
        <f>공종별내역서!J530</f>
        <v>0</v>
      </c>
      <c r="J30" s="9">
        <f t="shared" si="2"/>
        <v>0</v>
      </c>
      <c r="K30" s="9">
        <f t="shared" si="3"/>
        <v>0</v>
      </c>
      <c r="L30" s="9">
        <f t="shared" si="4"/>
        <v>0</v>
      </c>
      <c r="M30" s="7" t="s">
        <v>50</v>
      </c>
      <c r="N30" s="4" t="s">
        <v>323</v>
      </c>
      <c r="O30" s="4" t="s">
        <v>50</v>
      </c>
      <c r="P30" s="4" t="s">
        <v>275</v>
      </c>
      <c r="Q30" s="4" t="s">
        <v>50</v>
      </c>
      <c r="R30" s="1">
        <v>3</v>
      </c>
      <c r="S30" s="4" t="s">
        <v>50</v>
      </c>
      <c r="T30" s="5"/>
    </row>
    <row r="31" spans="1:20" ht="30" customHeight="1">
      <c r="A31" s="7" t="s">
        <v>338</v>
      </c>
      <c r="B31" s="7" t="s">
        <v>50</v>
      </c>
      <c r="C31" s="7" t="s">
        <v>50</v>
      </c>
      <c r="D31" s="8">
        <v>1</v>
      </c>
      <c r="E31" s="9">
        <f>공종별내역서!F554</f>
        <v>0</v>
      </c>
      <c r="F31" s="9">
        <f t="shared" si="0"/>
        <v>0</v>
      </c>
      <c r="G31" s="9">
        <f>공종별내역서!H554</f>
        <v>0</v>
      </c>
      <c r="H31" s="9">
        <f t="shared" si="1"/>
        <v>0</v>
      </c>
      <c r="I31" s="9">
        <f>공종별내역서!J554</f>
        <v>0</v>
      </c>
      <c r="J31" s="9">
        <f t="shared" si="2"/>
        <v>0</v>
      </c>
      <c r="K31" s="9">
        <f t="shared" si="3"/>
        <v>0</v>
      </c>
      <c r="L31" s="9">
        <f t="shared" si="4"/>
        <v>0</v>
      </c>
      <c r="M31" s="7" t="s">
        <v>50</v>
      </c>
      <c r="N31" s="4" t="s">
        <v>339</v>
      </c>
      <c r="O31" s="4" t="s">
        <v>50</v>
      </c>
      <c r="P31" s="4" t="s">
        <v>275</v>
      </c>
      <c r="Q31" s="4" t="s">
        <v>50</v>
      </c>
      <c r="R31" s="1">
        <v>3</v>
      </c>
      <c r="S31" s="4" t="s">
        <v>50</v>
      </c>
      <c r="T31" s="5"/>
    </row>
    <row r="32" spans="1:20" ht="30" customHeight="1">
      <c r="A32" s="7" t="s">
        <v>346</v>
      </c>
      <c r="B32" s="7" t="s">
        <v>50</v>
      </c>
      <c r="C32" s="7" t="s">
        <v>50</v>
      </c>
      <c r="D32" s="8">
        <v>1</v>
      </c>
      <c r="E32" s="9">
        <f>공종별내역서!F578</f>
        <v>0</v>
      </c>
      <c r="F32" s="9">
        <f t="shared" si="0"/>
        <v>0</v>
      </c>
      <c r="G32" s="9">
        <f>공종별내역서!H578</f>
        <v>0</v>
      </c>
      <c r="H32" s="9">
        <f t="shared" si="1"/>
        <v>0</v>
      </c>
      <c r="I32" s="9">
        <f>공종별내역서!J578</f>
        <v>0</v>
      </c>
      <c r="J32" s="9">
        <f t="shared" si="2"/>
        <v>0</v>
      </c>
      <c r="K32" s="9">
        <f t="shared" si="3"/>
        <v>0</v>
      </c>
      <c r="L32" s="9">
        <f t="shared" si="4"/>
        <v>0</v>
      </c>
      <c r="M32" s="7" t="s">
        <v>50</v>
      </c>
      <c r="N32" s="4" t="s">
        <v>347</v>
      </c>
      <c r="O32" s="4" t="s">
        <v>50</v>
      </c>
      <c r="P32" s="4" t="s">
        <v>275</v>
      </c>
      <c r="Q32" s="4" t="s">
        <v>50</v>
      </c>
      <c r="R32" s="1">
        <v>3</v>
      </c>
      <c r="S32" s="4" t="s">
        <v>50</v>
      </c>
      <c r="T32" s="5"/>
    </row>
    <row r="33" spans="1:20" ht="30" customHeight="1">
      <c r="A33" s="7" t="s">
        <v>357</v>
      </c>
      <c r="B33" s="7" t="s">
        <v>50</v>
      </c>
      <c r="C33" s="7" t="s">
        <v>50</v>
      </c>
      <c r="D33" s="8">
        <v>1</v>
      </c>
      <c r="E33" s="9">
        <f>공종별내역서!F602</f>
        <v>0</v>
      </c>
      <c r="F33" s="9">
        <f t="shared" si="0"/>
        <v>0</v>
      </c>
      <c r="G33" s="9">
        <f>공종별내역서!H602</f>
        <v>0</v>
      </c>
      <c r="H33" s="9">
        <f t="shared" si="1"/>
        <v>0</v>
      </c>
      <c r="I33" s="9">
        <f>공종별내역서!J602</f>
        <v>0</v>
      </c>
      <c r="J33" s="9">
        <f t="shared" si="2"/>
        <v>0</v>
      </c>
      <c r="K33" s="9">
        <f t="shared" si="3"/>
        <v>0</v>
      </c>
      <c r="L33" s="9">
        <f t="shared" si="4"/>
        <v>0</v>
      </c>
      <c r="M33" s="7" t="s">
        <v>50</v>
      </c>
      <c r="N33" s="4" t="s">
        <v>358</v>
      </c>
      <c r="O33" s="4" t="s">
        <v>50</v>
      </c>
      <c r="P33" s="4" t="s">
        <v>275</v>
      </c>
      <c r="Q33" s="4" t="s">
        <v>50</v>
      </c>
      <c r="R33" s="1">
        <v>3</v>
      </c>
      <c r="S33" s="4" t="s">
        <v>50</v>
      </c>
      <c r="T33" s="5"/>
    </row>
    <row r="34" spans="1:20" ht="30" customHeight="1">
      <c r="A34" s="16" t="s">
        <v>380</v>
      </c>
      <c r="B34" s="16" t="s">
        <v>50</v>
      </c>
      <c r="C34" s="16" t="s">
        <v>50</v>
      </c>
      <c r="D34" s="17">
        <v>1</v>
      </c>
      <c r="E34" s="18">
        <f>공종별내역서!F626</f>
        <v>0</v>
      </c>
      <c r="F34" s="18">
        <f t="shared" si="0"/>
        <v>0</v>
      </c>
      <c r="G34" s="18">
        <f>공종별내역서!H626</f>
        <v>0</v>
      </c>
      <c r="H34" s="18">
        <f t="shared" si="1"/>
        <v>0</v>
      </c>
      <c r="I34" s="18">
        <f>공종별내역서!J626</f>
        <v>0</v>
      </c>
      <c r="J34" s="18">
        <f t="shared" si="2"/>
        <v>0</v>
      </c>
      <c r="K34" s="18">
        <f t="shared" si="3"/>
        <v>0</v>
      </c>
      <c r="L34" s="18">
        <f t="shared" si="4"/>
        <v>0</v>
      </c>
      <c r="M34" s="16" t="s">
        <v>50</v>
      </c>
      <c r="N34" s="4" t="s">
        <v>381</v>
      </c>
      <c r="O34" s="4" t="s">
        <v>50</v>
      </c>
      <c r="P34" s="4" t="s">
        <v>50</v>
      </c>
      <c r="Q34" s="4" t="s">
        <v>52</v>
      </c>
      <c r="R34" s="1">
        <v>3</v>
      </c>
      <c r="S34" s="4" t="s">
        <v>50</v>
      </c>
      <c r="T34" s="5">
        <f>L34*1</f>
        <v>0</v>
      </c>
    </row>
    <row r="35" spans="1:20" ht="30" customHeight="1">
      <c r="A35" s="13" t="s">
        <v>383</v>
      </c>
      <c r="B35" s="13" t="s">
        <v>50</v>
      </c>
      <c r="C35" s="13" t="s">
        <v>50</v>
      </c>
      <c r="D35" s="14">
        <v>1</v>
      </c>
      <c r="E35" s="15">
        <f>F36+F37+F38+F39+F40+F41+F42</f>
        <v>0</v>
      </c>
      <c r="F35" s="15">
        <f t="shared" si="0"/>
        <v>0</v>
      </c>
      <c r="G35" s="15">
        <f>H36+H37+H38+H39+H40+H41+H42</f>
        <v>0</v>
      </c>
      <c r="H35" s="15">
        <f t="shared" si="1"/>
        <v>0</v>
      </c>
      <c r="I35" s="15">
        <f>J36+J37+J38+J39+J40+J41+J42</f>
        <v>0</v>
      </c>
      <c r="J35" s="15">
        <f t="shared" si="2"/>
        <v>0</v>
      </c>
      <c r="K35" s="15">
        <f t="shared" si="3"/>
        <v>0</v>
      </c>
      <c r="L35" s="15">
        <f t="shared" si="4"/>
        <v>0</v>
      </c>
      <c r="M35" s="13" t="s">
        <v>50</v>
      </c>
      <c r="N35" s="4" t="s">
        <v>384</v>
      </c>
      <c r="O35" s="4" t="s">
        <v>50</v>
      </c>
      <c r="P35" s="4" t="s">
        <v>51</v>
      </c>
      <c r="Q35" s="4" t="s">
        <v>50</v>
      </c>
      <c r="R35" s="1">
        <v>2</v>
      </c>
      <c r="S35" s="4" t="s">
        <v>50</v>
      </c>
      <c r="T35" s="5"/>
    </row>
    <row r="36" spans="1:20" ht="30" customHeight="1">
      <c r="A36" s="7" t="s">
        <v>385</v>
      </c>
      <c r="B36" s="7" t="s">
        <v>50</v>
      </c>
      <c r="C36" s="7" t="s">
        <v>50</v>
      </c>
      <c r="D36" s="8">
        <v>1</v>
      </c>
      <c r="E36" s="9">
        <f>공종별내역서!F650</f>
        <v>0</v>
      </c>
      <c r="F36" s="9">
        <f t="shared" si="0"/>
        <v>0</v>
      </c>
      <c r="G36" s="9">
        <f>공종별내역서!H650</f>
        <v>0</v>
      </c>
      <c r="H36" s="9">
        <f t="shared" si="1"/>
        <v>0</v>
      </c>
      <c r="I36" s="9">
        <f>공종별내역서!J650</f>
        <v>0</v>
      </c>
      <c r="J36" s="9">
        <f t="shared" si="2"/>
        <v>0</v>
      </c>
      <c r="K36" s="9">
        <f t="shared" si="3"/>
        <v>0</v>
      </c>
      <c r="L36" s="9">
        <f t="shared" si="4"/>
        <v>0</v>
      </c>
      <c r="M36" s="7" t="s">
        <v>50</v>
      </c>
      <c r="N36" s="4" t="s">
        <v>386</v>
      </c>
      <c r="O36" s="4" t="s">
        <v>50</v>
      </c>
      <c r="P36" s="4" t="s">
        <v>384</v>
      </c>
      <c r="Q36" s="4" t="s">
        <v>50</v>
      </c>
      <c r="R36" s="1">
        <v>3</v>
      </c>
      <c r="S36" s="4" t="s">
        <v>50</v>
      </c>
      <c r="T36" s="5"/>
    </row>
    <row r="37" spans="1:20" ht="30" customHeight="1">
      <c r="A37" s="7" t="s">
        <v>392</v>
      </c>
      <c r="B37" s="7" t="s">
        <v>50</v>
      </c>
      <c r="C37" s="7" t="s">
        <v>50</v>
      </c>
      <c r="D37" s="8">
        <v>1</v>
      </c>
      <c r="E37" s="9">
        <f>공종별내역서!F674</f>
        <v>0</v>
      </c>
      <c r="F37" s="9">
        <f t="shared" si="0"/>
        <v>0</v>
      </c>
      <c r="G37" s="9">
        <f>공종별내역서!H674</f>
        <v>0</v>
      </c>
      <c r="H37" s="9">
        <f t="shared" si="1"/>
        <v>0</v>
      </c>
      <c r="I37" s="9">
        <f>공종별내역서!J674</f>
        <v>0</v>
      </c>
      <c r="J37" s="9">
        <f t="shared" si="2"/>
        <v>0</v>
      </c>
      <c r="K37" s="9">
        <f t="shared" si="3"/>
        <v>0</v>
      </c>
      <c r="L37" s="9">
        <f t="shared" si="4"/>
        <v>0</v>
      </c>
      <c r="M37" s="7" t="s">
        <v>50</v>
      </c>
      <c r="N37" s="4" t="s">
        <v>393</v>
      </c>
      <c r="O37" s="4" t="s">
        <v>50</v>
      </c>
      <c r="P37" s="4" t="s">
        <v>384</v>
      </c>
      <c r="Q37" s="4" t="s">
        <v>50</v>
      </c>
      <c r="R37" s="1">
        <v>3</v>
      </c>
      <c r="S37" s="4" t="s">
        <v>50</v>
      </c>
      <c r="T37" s="5"/>
    </row>
    <row r="38" spans="1:20" ht="30" customHeight="1">
      <c r="A38" s="7" t="s">
        <v>405</v>
      </c>
      <c r="B38" s="7" t="s">
        <v>50</v>
      </c>
      <c r="C38" s="7" t="s">
        <v>50</v>
      </c>
      <c r="D38" s="8">
        <v>1</v>
      </c>
      <c r="E38" s="9">
        <f>공종별내역서!F698</f>
        <v>0</v>
      </c>
      <c r="F38" s="9">
        <f t="shared" si="0"/>
        <v>0</v>
      </c>
      <c r="G38" s="9">
        <f>공종별내역서!H698</f>
        <v>0</v>
      </c>
      <c r="H38" s="9">
        <f t="shared" si="1"/>
        <v>0</v>
      </c>
      <c r="I38" s="9">
        <f>공종별내역서!J698</f>
        <v>0</v>
      </c>
      <c r="J38" s="9">
        <f t="shared" si="2"/>
        <v>0</v>
      </c>
      <c r="K38" s="9">
        <f t="shared" si="3"/>
        <v>0</v>
      </c>
      <c r="L38" s="9">
        <f t="shared" si="4"/>
        <v>0</v>
      </c>
      <c r="M38" s="7" t="s">
        <v>50</v>
      </c>
      <c r="N38" s="4" t="s">
        <v>406</v>
      </c>
      <c r="O38" s="4" t="s">
        <v>50</v>
      </c>
      <c r="P38" s="4" t="s">
        <v>384</v>
      </c>
      <c r="Q38" s="4" t="s">
        <v>50</v>
      </c>
      <c r="R38" s="1">
        <v>3</v>
      </c>
      <c r="S38" s="4" t="s">
        <v>50</v>
      </c>
      <c r="T38" s="5"/>
    </row>
    <row r="39" spans="1:20" ht="30" customHeight="1">
      <c r="A39" s="7" t="s">
        <v>410</v>
      </c>
      <c r="B39" s="7" t="s">
        <v>50</v>
      </c>
      <c r="C39" s="7" t="s">
        <v>50</v>
      </c>
      <c r="D39" s="8">
        <v>1</v>
      </c>
      <c r="E39" s="9">
        <f>공종별내역서!F722</f>
        <v>0</v>
      </c>
      <c r="F39" s="9">
        <f t="shared" si="0"/>
        <v>0</v>
      </c>
      <c r="G39" s="9">
        <f>공종별내역서!H722</f>
        <v>0</v>
      </c>
      <c r="H39" s="9">
        <f t="shared" si="1"/>
        <v>0</v>
      </c>
      <c r="I39" s="9">
        <f>공종별내역서!J722</f>
        <v>0</v>
      </c>
      <c r="J39" s="9">
        <f t="shared" si="2"/>
        <v>0</v>
      </c>
      <c r="K39" s="9">
        <f t="shared" si="3"/>
        <v>0</v>
      </c>
      <c r="L39" s="9">
        <f t="shared" si="4"/>
        <v>0</v>
      </c>
      <c r="M39" s="7" t="s">
        <v>50</v>
      </c>
      <c r="N39" s="4" t="s">
        <v>411</v>
      </c>
      <c r="O39" s="4" t="s">
        <v>50</v>
      </c>
      <c r="P39" s="4" t="s">
        <v>384</v>
      </c>
      <c r="Q39" s="4" t="s">
        <v>50</v>
      </c>
      <c r="R39" s="1">
        <v>3</v>
      </c>
      <c r="S39" s="4" t="s">
        <v>50</v>
      </c>
      <c r="T39" s="5"/>
    </row>
    <row r="40" spans="1:20" ht="30" customHeight="1">
      <c r="A40" s="7" t="s">
        <v>419</v>
      </c>
      <c r="B40" s="7" t="s">
        <v>50</v>
      </c>
      <c r="C40" s="7" t="s">
        <v>50</v>
      </c>
      <c r="D40" s="8">
        <v>1</v>
      </c>
      <c r="E40" s="9">
        <f>공종별내역서!F746</f>
        <v>0</v>
      </c>
      <c r="F40" s="9">
        <f t="shared" si="0"/>
        <v>0</v>
      </c>
      <c r="G40" s="9">
        <f>공종별내역서!H746</f>
        <v>0</v>
      </c>
      <c r="H40" s="9">
        <f t="shared" si="1"/>
        <v>0</v>
      </c>
      <c r="I40" s="9">
        <f>공종별내역서!J746</f>
        <v>0</v>
      </c>
      <c r="J40" s="9">
        <f t="shared" si="2"/>
        <v>0</v>
      </c>
      <c r="K40" s="9">
        <f t="shared" si="3"/>
        <v>0</v>
      </c>
      <c r="L40" s="9">
        <f t="shared" si="4"/>
        <v>0</v>
      </c>
      <c r="M40" s="7" t="s">
        <v>50</v>
      </c>
      <c r="N40" s="4" t="s">
        <v>420</v>
      </c>
      <c r="O40" s="4" t="s">
        <v>50</v>
      </c>
      <c r="P40" s="4" t="s">
        <v>384</v>
      </c>
      <c r="Q40" s="4" t="s">
        <v>50</v>
      </c>
      <c r="R40" s="1">
        <v>3</v>
      </c>
      <c r="S40" s="4" t="s">
        <v>50</v>
      </c>
      <c r="T40" s="5"/>
    </row>
    <row r="41" spans="1:20" ht="30" customHeight="1">
      <c r="A41" s="7" t="s">
        <v>424</v>
      </c>
      <c r="B41" s="7" t="s">
        <v>50</v>
      </c>
      <c r="C41" s="7" t="s">
        <v>50</v>
      </c>
      <c r="D41" s="8">
        <v>1</v>
      </c>
      <c r="E41" s="9">
        <f>공종별내역서!F770</f>
        <v>0</v>
      </c>
      <c r="F41" s="9">
        <f t="shared" si="0"/>
        <v>0</v>
      </c>
      <c r="G41" s="9">
        <f>공종별내역서!H770</f>
        <v>0</v>
      </c>
      <c r="H41" s="9">
        <f t="shared" si="1"/>
        <v>0</v>
      </c>
      <c r="I41" s="9">
        <f>공종별내역서!J770</f>
        <v>0</v>
      </c>
      <c r="J41" s="9">
        <f t="shared" si="2"/>
        <v>0</v>
      </c>
      <c r="K41" s="9">
        <f t="shared" si="3"/>
        <v>0</v>
      </c>
      <c r="L41" s="9">
        <f t="shared" si="4"/>
        <v>0</v>
      </c>
      <c r="M41" s="7" t="s">
        <v>50</v>
      </c>
      <c r="N41" s="4" t="s">
        <v>425</v>
      </c>
      <c r="O41" s="4" t="s">
        <v>50</v>
      </c>
      <c r="P41" s="4" t="s">
        <v>384</v>
      </c>
      <c r="Q41" s="4" t="s">
        <v>50</v>
      </c>
      <c r="R41" s="1">
        <v>3</v>
      </c>
      <c r="S41" s="4" t="s">
        <v>50</v>
      </c>
      <c r="T41" s="5"/>
    </row>
    <row r="42" spans="1:20" ht="30" customHeight="1">
      <c r="A42" s="7" t="s">
        <v>427</v>
      </c>
      <c r="B42" s="7" t="s">
        <v>50</v>
      </c>
      <c r="C42" s="7" t="s">
        <v>50</v>
      </c>
      <c r="D42" s="8">
        <v>1</v>
      </c>
      <c r="E42" s="9">
        <f>공종별내역서!F794</f>
        <v>0</v>
      </c>
      <c r="F42" s="9">
        <f t="shared" si="0"/>
        <v>0</v>
      </c>
      <c r="G42" s="9">
        <f>공종별내역서!H794</f>
        <v>0</v>
      </c>
      <c r="H42" s="9">
        <f t="shared" si="1"/>
        <v>0</v>
      </c>
      <c r="I42" s="9">
        <f>공종별내역서!J794</f>
        <v>0</v>
      </c>
      <c r="J42" s="9">
        <f t="shared" si="2"/>
        <v>0</v>
      </c>
      <c r="K42" s="9">
        <f t="shared" si="3"/>
        <v>0</v>
      </c>
      <c r="L42" s="9">
        <f t="shared" si="4"/>
        <v>0</v>
      </c>
      <c r="M42" s="7" t="s">
        <v>50</v>
      </c>
      <c r="N42" s="4" t="s">
        <v>428</v>
      </c>
      <c r="O42" s="4" t="s">
        <v>50</v>
      </c>
      <c r="P42" s="4" t="s">
        <v>384</v>
      </c>
      <c r="Q42" s="4" t="s">
        <v>50</v>
      </c>
      <c r="R42" s="1">
        <v>3</v>
      </c>
      <c r="S42" s="4" t="s">
        <v>50</v>
      </c>
      <c r="T42" s="5"/>
    </row>
    <row r="43" spans="1:20" ht="30" customHeight="1">
      <c r="A43" s="16" t="s">
        <v>435</v>
      </c>
      <c r="B43" s="16" t="s">
        <v>50</v>
      </c>
      <c r="C43" s="16" t="s">
        <v>50</v>
      </c>
      <c r="D43" s="17">
        <v>1</v>
      </c>
      <c r="E43" s="18">
        <f>공종별내역서!F818</f>
        <v>0</v>
      </c>
      <c r="F43" s="18">
        <f t="shared" si="0"/>
        <v>0</v>
      </c>
      <c r="G43" s="18">
        <f>공종별내역서!H818</f>
        <v>0</v>
      </c>
      <c r="H43" s="18">
        <f t="shared" si="1"/>
        <v>0</v>
      </c>
      <c r="I43" s="18">
        <f>공종별내역서!J818</f>
        <v>0</v>
      </c>
      <c r="J43" s="18">
        <f t="shared" si="2"/>
        <v>0</v>
      </c>
      <c r="K43" s="18">
        <f t="shared" si="3"/>
        <v>0</v>
      </c>
      <c r="L43" s="18">
        <f t="shared" si="4"/>
        <v>0</v>
      </c>
      <c r="M43" s="16" t="s">
        <v>50</v>
      </c>
      <c r="N43" s="4" t="s">
        <v>436</v>
      </c>
      <c r="O43" s="4" t="s">
        <v>50</v>
      </c>
      <c r="P43" s="4" t="s">
        <v>50</v>
      </c>
      <c r="Q43" s="4" t="s">
        <v>52</v>
      </c>
      <c r="R43" s="1">
        <v>3</v>
      </c>
      <c r="S43" s="4" t="s">
        <v>50</v>
      </c>
      <c r="T43" s="5">
        <f>L43*1</f>
        <v>0</v>
      </c>
    </row>
    <row r="44" spans="1:20" ht="30" customHeight="1">
      <c r="A44" s="8" t="s">
        <v>82</v>
      </c>
      <c r="B44" s="8"/>
      <c r="C44" s="8"/>
      <c r="D44" s="8"/>
      <c r="E44" s="8"/>
      <c r="F44" s="9">
        <f>F5</f>
        <v>0</v>
      </c>
      <c r="G44" s="8"/>
      <c r="H44" s="9">
        <f>H5</f>
        <v>0</v>
      </c>
      <c r="I44" s="8"/>
      <c r="J44" s="9">
        <f>J5</f>
        <v>0</v>
      </c>
      <c r="K44" s="8"/>
      <c r="L44" s="9">
        <f>L5</f>
        <v>0</v>
      </c>
      <c r="M44" s="8"/>
      <c r="T44" s="3"/>
    </row>
  </sheetData>
  <mergeCells count="18">
    <mergeCell ref="S3:S4"/>
    <mergeCell ref="T3:T4"/>
    <mergeCell ref="M3:M4"/>
    <mergeCell ref="N3:N4"/>
    <mergeCell ref="O3:O4"/>
    <mergeCell ref="P3:P4"/>
    <mergeCell ref="Q3:Q4"/>
    <mergeCell ref="R3:R4"/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  <rowBreaks count="1" manualBreakCount="1">
    <brk id="2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818"/>
  <sheetViews>
    <sheetView view="pageBreakPreview" zoomScale="90" zoomScaleNormal="100" zoomScaleSheetLayoutView="90" workbookViewId="0">
      <selection activeCell="E796" sqref="E796:L796"/>
    </sheetView>
  </sheetViews>
  <sheetFormatPr defaultRowHeight="16.5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>
      <c r="A1" s="93" t="s">
        <v>542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48" ht="30" customHeight="1">
      <c r="A2" s="94" t="s">
        <v>1</v>
      </c>
      <c r="B2" s="94" t="s">
        <v>2</v>
      </c>
      <c r="C2" s="94" t="s">
        <v>3</v>
      </c>
      <c r="D2" s="94" t="s">
        <v>4</v>
      </c>
      <c r="E2" s="94" t="s">
        <v>5</v>
      </c>
      <c r="F2" s="94"/>
      <c r="G2" s="94" t="s">
        <v>8</v>
      </c>
      <c r="H2" s="94"/>
      <c r="I2" s="94" t="s">
        <v>9</v>
      </c>
      <c r="J2" s="94"/>
      <c r="K2" s="94" t="s">
        <v>10</v>
      </c>
      <c r="L2" s="94"/>
      <c r="M2" s="94" t="s">
        <v>11</v>
      </c>
      <c r="N2" s="96" t="s">
        <v>19</v>
      </c>
      <c r="O2" s="96" t="s">
        <v>13</v>
      </c>
      <c r="P2" s="96" t="s">
        <v>20</v>
      </c>
      <c r="Q2" s="96" t="s">
        <v>12</v>
      </c>
      <c r="R2" s="96" t="s">
        <v>21</v>
      </c>
      <c r="S2" s="96" t="s">
        <v>22</v>
      </c>
      <c r="T2" s="96" t="s">
        <v>23</v>
      </c>
      <c r="U2" s="96" t="s">
        <v>24</v>
      </c>
      <c r="V2" s="96" t="s">
        <v>25</v>
      </c>
      <c r="W2" s="96" t="s">
        <v>26</v>
      </c>
      <c r="X2" s="96" t="s">
        <v>27</v>
      </c>
      <c r="Y2" s="96" t="s">
        <v>28</v>
      </c>
      <c r="Z2" s="96" t="s">
        <v>29</v>
      </c>
      <c r="AA2" s="96" t="s">
        <v>30</v>
      </c>
      <c r="AB2" s="96" t="s">
        <v>31</v>
      </c>
      <c r="AC2" s="96" t="s">
        <v>32</v>
      </c>
      <c r="AD2" s="96" t="s">
        <v>33</v>
      </c>
      <c r="AE2" s="96" t="s">
        <v>34</v>
      </c>
      <c r="AF2" s="96" t="s">
        <v>35</v>
      </c>
      <c r="AG2" s="96" t="s">
        <v>36</v>
      </c>
      <c r="AH2" s="96" t="s">
        <v>37</v>
      </c>
      <c r="AI2" s="96" t="s">
        <v>38</v>
      </c>
      <c r="AJ2" s="96" t="s">
        <v>39</v>
      </c>
      <c r="AK2" s="96" t="s">
        <v>40</v>
      </c>
      <c r="AL2" s="96" t="s">
        <v>41</v>
      </c>
      <c r="AM2" s="96" t="s">
        <v>42</v>
      </c>
      <c r="AN2" s="96" t="s">
        <v>43</v>
      </c>
      <c r="AO2" s="96" t="s">
        <v>44</v>
      </c>
      <c r="AP2" s="96" t="s">
        <v>45</v>
      </c>
      <c r="AQ2" s="96" t="s">
        <v>46</v>
      </c>
      <c r="AR2" s="96" t="s">
        <v>47</v>
      </c>
      <c r="AS2" s="96" t="s">
        <v>15</v>
      </c>
      <c r="AT2" s="96" t="s">
        <v>16</v>
      </c>
      <c r="AU2" s="96" t="s">
        <v>48</v>
      </c>
      <c r="AV2" s="96" t="s">
        <v>49</v>
      </c>
    </row>
    <row r="3" spans="1:48" ht="30" customHeight="1">
      <c r="A3" s="94"/>
      <c r="B3" s="94"/>
      <c r="C3" s="94"/>
      <c r="D3" s="94"/>
      <c r="E3" s="2" t="s">
        <v>6</v>
      </c>
      <c r="F3" s="2" t="s">
        <v>7</v>
      </c>
      <c r="G3" s="2" t="s">
        <v>6</v>
      </c>
      <c r="H3" s="2" t="s">
        <v>7</v>
      </c>
      <c r="I3" s="2" t="s">
        <v>6</v>
      </c>
      <c r="J3" s="2" t="s">
        <v>7</v>
      </c>
      <c r="K3" s="2" t="s">
        <v>6</v>
      </c>
      <c r="L3" s="2" t="s">
        <v>7</v>
      </c>
      <c r="M3" s="94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</row>
    <row r="4" spans="1:48" ht="30" customHeight="1">
      <c r="A4" s="71" t="s">
        <v>555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</row>
    <row r="5" spans="1:48" ht="30" customHeight="1">
      <c r="A5" s="7" t="s">
        <v>55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1"/>
      <c r="Q5" s="4" t="s">
        <v>56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0" customHeight="1">
      <c r="A6" s="7" t="s">
        <v>543</v>
      </c>
      <c r="B6" s="7" t="s">
        <v>57</v>
      </c>
      <c r="C6" s="7" t="s">
        <v>58</v>
      </c>
      <c r="D6" s="8">
        <v>32</v>
      </c>
      <c r="E6" s="9"/>
      <c r="F6" s="9"/>
      <c r="G6" s="9"/>
      <c r="H6" s="9"/>
      <c r="I6" s="9"/>
      <c r="J6" s="9"/>
      <c r="K6" s="9"/>
      <c r="L6" s="9"/>
      <c r="M6" s="7"/>
      <c r="N6" s="4" t="s">
        <v>59</v>
      </c>
      <c r="O6" s="4" t="s">
        <v>50</v>
      </c>
      <c r="P6" s="4" t="s">
        <v>50</v>
      </c>
      <c r="Q6" s="4" t="s">
        <v>50</v>
      </c>
      <c r="R6" s="4" t="s">
        <v>60</v>
      </c>
      <c r="S6" s="4" t="s">
        <v>61</v>
      </c>
      <c r="T6" s="4" t="s">
        <v>61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4" t="s">
        <v>50</v>
      </c>
      <c r="AS6" s="4" t="s">
        <v>50</v>
      </c>
      <c r="AT6" s="1"/>
      <c r="AU6" s="4" t="s">
        <v>62</v>
      </c>
      <c r="AV6" s="1">
        <v>4689</v>
      </c>
    </row>
    <row r="7" spans="1:48" ht="30" customHeight="1">
      <c r="A7" s="7" t="s">
        <v>556</v>
      </c>
      <c r="B7" s="7" t="s">
        <v>63</v>
      </c>
      <c r="C7" s="7" t="s">
        <v>58</v>
      </c>
      <c r="D7" s="8">
        <v>32</v>
      </c>
      <c r="E7" s="9"/>
      <c r="F7" s="9"/>
      <c r="G7" s="9"/>
      <c r="H7" s="9"/>
      <c r="I7" s="9"/>
      <c r="J7" s="9"/>
      <c r="K7" s="9"/>
      <c r="L7" s="9"/>
      <c r="M7" s="7"/>
      <c r="N7" s="4" t="s">
        <v>64</v>
      </c>
      <c r="O7" s="4" t="s">
        <v>50</v>
      </c>
      <c r="P7" s="4" t="s">
        <v>50</v>
      </c>
      <c r="Q7" s="4" t="s">
        <v>50</v>
      </c>
      <c r="R7" s="4" t="s">
        <v>60</v>
      </c>
      <c r="S7" s="4" t="s">
        <v>61</v>
      </c>
      <c r="T7" s="4" t="s">
        <v>61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4" t="s">
        <v>50</v>
      </c>
      <c r="AS7" s="4" t="s">
        <v>50</v>
      </c>
      <c r="AT7" s="1"/>
      <c r="AU7" s="4" t="s">
        <v>65</v>
      </c>
      <c r="AV7" s="1">
        <v>4690</v>
      </c>
    </row>
    <row r="8" spans="1:48" ht="30" customHeight="1">
      <c r="A8" s="7" t="s">
        <v>557</v>
      </c>
      <c r="B8" s="7" t="s">
        <v>63</v>
      </c>
      <c r="C8" s="7" t="s">
        <v>58</v>
      </c>
      <c r="D8" s="8">
        <v>32</v>
      </c>
      <c r="E8" s="9"/>
      <c r="F8" s="9"/>
      <c r="G8" s="9"/>
      <c r="H8" s="9"/>
      <c r="I8" s="9"/>
      <c r="J8" s="9"/>
      <c r="K8" s="9"/>
      <c r="L8" s="9"/>
      <c r="M8" s="7"/>
      <c r="N8" s="4" t="s">
        <v>66</v>
      </c>
      <c r="O8" s="4" t="s">
        <v>50</v>
      </c>
      <c r="P8" s="4" t="s">
        <v>50</v>
      </c>
      <c r="Q8" s="4" t="s">
        <v>50</v>
      </c>
      <c r="R8" s="4" t="s">
        <v>60</v>
      </c>
      <c r="S8" s="4" t="s">
        <v>61</v>
      </c>
      <c r="T8" s="4" t="s">
        <v>61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4" t="s">
        <v>50</v>
      </c>
      <c r="AS8" s="4" t="s">
        <v>50</v>
      </c>
      <c r="AT8" s="1"/>
      <c r="AU8" s="4" t="s">
        <v>67</v>
      </c>
      <c r="AV8" s="1">
        <v>4691</v>
      </c>
    </row>
    <row r="9" spans="1:48" ht="30" customHeight="1">
      <c r="A9" s="7" t="s">
        <v>558</v>
      </c>
      <c r="B9" s="7" t="s">
        <v>592</v>
      </c>
      <c r="C9" s="7" t="s">
        <v>69</v>
      </c>
      <c r="D9" s="8">
        <v>1</v>
      </c>
      <c r="E9" s="9"/>
      <c r="F9" s="9"/>
      <c r="G9" s="9"/>
      <c r="H9" s="9"/>
      <c r="I9" s="9"/>
      <c r="J9" s="9"/>
      <c r="K9" s="9"/>
      <c r="L9" s="9"/>
      <c r="M9" s="7"/>
      <c r="N9" s="4" t="s">
        <v>70</v>
      </c>
      <c r="O9" s="4" t="s">
        <v>50</v>
      </c>
      <c r="P9" s="4" t="s">
        <v>50</v>
      </c>
      <c r="Q9" s="4" t="s">
        <v>50</v>
      </c>
      <c r="R9" s="4" t="s">
        <v>60</v>
      </c>
      <c r="S9" s="4" t="s">
        <v>61</v>
      </c>
      <c r="T9" s="4" t="s">
        <v>61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4" t="s">
        <v>50</v>
      </c>
      <c r="AS9" s="4" t="s">
        <v>50</v>
      </c>
      <c r="AT9" s="1"/>
      <c r="AU9" s="4" t="s">
        <v>71</v>
      </c>
      <c r="AV9" s="1">
        <v>5651</v>
      </c>
    </row>
    <row r="10" spans="1:48" ht="30" customHeight="1">
      <c r="A10" s="7" t="s">
        <v>589</v>
      </c>
      <c r="B10" s="7" t="s">
        <v>591</v>
      </c>
      <c r="C10" s="7" t="s">
        <v>69</v>
      </c>
      <c r="D10" s="73">
        <v>1</v>
      </c>
      <c r="E10" s="9"/>
      <c r="F10" s="9"/>
      <c r="G10" s="9"/>
      <c r="H10" s="9"/>
      <c r="I10" s="9"/>
      <c r="J10" s="9"/>
      <c r="K10" s="9"/>
      <c r="L10" s="9"/>
      <c r="M10" s="7"/>
      <c r="N10" s="4"/>
      <c r="O10" s="4"/>
      <c r="P10" s="4"/>
      <c r="Q10" s="4"/>
      <c r="R10" s="4"/>
      <c r="S10" s="4"/>
      <c r="T10" s="4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4"/>
      <c r="AS10" s="4"/>
      <c r="AT10" s="1"/>
      <c r="AU10" s="4"/>
      <c r="AV10" s="1"/>
    </row>
    <row r="11" spans="1:48" ht="30" customHeight="1">
      <c r="A11" s="7" t="s">
        <v>544</v>
      </c>
      <c r="B11" s="7" t="s">
        <v>72</v>
      </c>
      <c r="C11" s="7" t="s">
        <v>73</v>
      </c>
      <c r="D11" s="8">
        <v>2</v>
      </c>
      <c r="E11" s="9"/>
      <c r="F11" s="9"/>
      <c r="G11" s="9"/>
      <c r="H11" s="9"/>
      <c r="I11" s="9"/>
      <c r="J11" s="9"/>
      <c r="K11" s="9"/>
      <c r="L11" s="9"/>
      <c r="M11" s="7"/>
      <c r="N11" s="4" t="s">
        <v>74</v>
      </c>
      <c r="O11" s="4" t="s">
        <v>50</v>
      </c>
      <c r="P11" s="4" t="s">
        <v>50</v>
      </c>
      <c r="Q11" s="4" t="s">
        <v>50</v>
      </c>
      <c r="R11" s="4" t="s">
        <v>60</v>
      </c>
      <c r="S11" s="4" t="s">
        <v>61</v>
      </c>
      <c r="T11" s="4" t="s">
        <v>61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4" t="s">
        <v>50</v>
      </c>
      <c r="AS11" s="4" t="s">
        <v>50</v>
      </c>
      <c r="AT11" s="1"/>
      <c r="AU11" s="4" t="s">
        <v>75</v>
      </c>
      <c r="AV11" s="1">
        <v>4693</v>
      </c>
    </row>
    <row r="12" spans="1:48" ht="30" customHeight="1">
      <c r="A12" s="7" t="s">
        <v>545</v>
      </c>
      <c r="B12" s="7" t="s">
        <v>76</v>
      </c>
      <c r="C12" s="7" t="s">
        <v>58</v>
      </c>
      <c r="D12" s="8">
        <v>58</v>
      </c>
      <c r="E12" s="9"/>
      <c r="F12" s="9"/>
      <c r="G12" s="9"/>
      <c r="H12" s="9"/>
      <c r="I12" s="9"/>
      <c r="J12" s="9"/>
      <c r="K12" s="9"/>
      <c r="L12" s="9"/>
      <c r="M12" s="7"/>
      <c r="N12" s="4" t="s">
        <v>77</v>
      </c>
      <c r="O12" s="4" t="s">
        <v>50</v>
      </c>
      <c r="P12" s="4" t="s">
        <v>50</v>
      </c>
      <c r="Q12" s="4" t="s">
        <v>50</v>
      </c>
      <c r="R12" s="4" t="s">
        <v>60</v>
      </c>
      <c r="S12" s="4" t="s">
        <v>61</v>
      </c>
      <c r="T12" s="4" t="s">
        <v>61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4" t="s">
        <v>50</v>
      </c>
      <c r="AS12" s="4" t="s">
        <v>50</v>
      </c>
      <c r="AT12" s="1"/>
      <c r="AU12" s="4" t="s">
        <v>78</v>
      </c>
      <c r="AV12" s="1">
        <v>4694</v>
      </c>
    </row>
    <row r="13" spans="1:48" ht="30" customHeight="1">
      <c r="A13" s="7" t="s">
        <v>79</v>
      </c>
      <c r="B13" s="7" t="s">
        <v>76</v>
      </c>
      <c r="C13" s="7" t="s">
        <v>58</v>
      </c>
      <c r="D13" s="8">
        <v>58</v>
      </c>
      <c r="E13" s="9"/>
      <c r="F13" s="9"/>
      <c r="G13" s="9"/>
      <c r="H13" s="9"/>
      <c r="I13" s="9"/>
      <c r="J13" s="9"/>
      <c r="K13" s="9"/>
      <c r="L13" s="9"/>
      <c r="M13" s="7"/>
      <c r="N13" s="4" t="s">
        <v>80</v>
      </c>
      <c r="O13" s="4" t="s">
        <v>50</v>
      </c>
      <c r="P13" s="4" t="s">
        <v>50</v>
      </c>
      <c r="Q13" s="4" t="s">
        <v>50</v>
      </c>
      <c r="R13" s="4" t="s">
        <v>60</v>
      </c>
      <c r="S13" s="4" t="s">
        <v>61</v>
      </c>
      <c r="T13" s="4" t="s">
        <v>61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4" t="s">
        <v>50</v>
      </c>
      <c r="AS13" s="4" t="s">
        <v>50</v>
      </c>
      <c r="AT13" s="1"/>
      <c r="AU13" s="4" t="s">
        <v>81</v>
      </c>
      <c r="AV13" s="1">
        <v>4696</v>
      </c>
    </row>
    <row r="14" spans="1:48" ht="3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48" ht="3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48" ht="3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48" ht="3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48" ht="3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48" ht="3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48" ht="3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48" ht="3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48" ht="3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48" ht="3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48" ht="3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48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48" ht="3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48" ht="30" customHeight="1">
      <c r="A27" s="8" t="s">
        <v>82</v>
      </c>
      <c r="B27" s="8"/>
      <c r="C27" s="8"/>
      <c r="D27" s="8"/>
      <c r="E27" s="8"/>
      <c r="F27" s="9">
        <f>SUM(F6:F26)</f>
        <v>0</v>
      </c>
      <c r="G27" s="8"/>
      <c r="H27" s="9">
        <f>SUM(H6:H26)</f>
        <v>0</v>
      </c>
      <c r="I27" s="8"/>
      <c r="J27" s="9">
        <f>SUM(J6:J26)</f>
        <v>0</v>
      </c>
      <c r="K27" s="8"/>
      <c r="L27" s="9">
        <f>SUM(L6:L26)</f>
        <v>0</v>
      </c>
      <c r="M27" s="8"/>
      <c r="N27" t="s">
        <v>83</v>
      </c>
    </row>
    <row r="28" spans="1:48" ht="30" customHeight="1">
      <c r="A28" s="7" t="s">
        <v>84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"/>
      <c r="O28" s="1"/>
      <c r="P28" s="1"/>
      <c r="Q28" s="4" t="s">
        <v>85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30" customHeight="1">
      <c r="A29" s="7" t="s">
        <v>559</v>
      </c>
      <c r="B29" s="7" t="s">
        <v>86</v>
      </c>
      <c r="C29" s="7" t="s">
        <v>58</v>
      </c>
      <c r="D29" s="8">
        <v>64</v>
      </c>
      <c r="E29" s="9"/>
      <c r="F29" s="9"/>
      <c r="G29" s="9"/>
      <c r="H29" s="9"/>
      <c r="I29" s="9"/>
      <c r="J29" s="9"/>
      <c r="K29" s="9"/>
      <c r="L29" s="9"/>
      <c r="M29" s="7"/>
      <c r="N29" s="4" t="s">
        <v>87</v>
      </c>
      <c r="O29" s="4" t="s">
        <v>50</v>
      </c>
      <c r="P29" s="4" t="s">
        <v>50</v>
      </c>
      <c r="Q29" s="4" t="s">
        <v>50</v>
      </c>
      <c r="R29" s="4" t="s">
        <v>60</v>
      </c>
      <c r="S29" s="4" t="s">
        <v>61</v>
      </c>
      <c r="T29" s="4" t="s">
        <v>61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4" t="s">
        <v>50</v>
      </c>
      <c r="AS29" s="4" t="s">
        <v>50</v>
      </c>
      <c r="AT29" s="1"/>
      <c r="AU29" s="4" t="s">
        <v>88</v>
      </c>
      <c r="AV29" s="1">
        <v>5652</v>
      </c>
    </row>
    <row r="30" spans="1:48" ht="30" customHeight="1">
      <c r="A30" s="7" t="s">
        <v>594</v>
      </c>
      <c r="B30" s="7" t="s">
        <v>561</v>
      </c>
      <c r="C30" s="7" t="s">
        <v>58</v>
      </c>
      <c r="D30" s="8">
        <v>64</v>
      </c>
      <c r="E30" s="9"/>
      <c r="F30" s="9"/>
      <c r="G30" s="9"/>
      <c r="H30" s="9"/>
      <c r="I30" s="9"/>
      <c r="J30" s="9"/>
      <c r="K30" s="9"/>
      <c r="L30" s="9"/>
      <c r="M30" s="7"/>
      <c r="N30" s="4" t="s">
        <v>91</v>
      </c>
      <c r="O30" s="4" t="s">
        <v>50</v>
      </c>
      <c r="P30" s="4" t="s">
        <v>50</v>
      </c>
      <c r="Q30" s="4" t="s">
        <v>50</v>
      </c>
      <c r="R30" s="4" t="s">
        <v>60</v>
      </c>
      <c r="S30" s="4" t="s">
        <v>61</v>
      </c>
      <c r="T30" s="4" t="s">
        <v>61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4" t="s">
        <v>50</v>
      </c>
      <c r="AS30" s="4" t="s">
        <v>50</v>
      </c>
      <c r="AT30" s="1"/>
      <c r="AU30" s="4" t="s">
        <v>92</v>
      </c>
      <c r="AV30" s="1">
        <v>5653</v>
      </c>
    </row>
    <row r="31" spans="1:48" ht="30" customHeight="1">
      <c r="A31" s="7" t="s">
        <v>595</v>
      </c>
      <c r="B31" s="7" t="s">
        <v>50</v>
      </c>
      <c r="C31" s="7" t="s">
        <v>58</v>
      </c>
      <c r="D31" s="8">
        <v>36</v>
      </c>
      <c r="E31" s="9"/>
      <c r="F31" s="9"/>
      <c r="G31" s="9"/>
      <c r="H31" s="9"/>
      <c r="I31" s="9"/>
      <c r="J31" s="9"/>
      <c r="K31" s="9"/>
      <c r="L31" s="9"/>
      <c r="M31" s="7"/>
      <c r="N31" s="4" t="s">
        <v>93</v>
      </c>
      <c r="O31" s="4" t="s">
        <v>50</v>
      </c>
      <c r="P31" s="4" t="s">
        <v>50</v>
      </c>
      <c r="Q31" s="4" t="s">
        <v>50</v>
      </c>
      <c r="R31" s="4" t="s">
        <v>60</v>
      </c>
      <c r="S31" s="4" t="s">
        <v>61</v>
      </c>
      <c r="T31" s="4" t="s">
        <v>61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4" t="s">
        <v>50</v>
      </c>
      <c r="AS31" s="4" t="s">
        <v>50</v>
      </c>
      <c r="AT31" s="1"/>
      <c r="AU31" s="4" t="s">
        <v>94</v>
      </c>
      <c r="AV31" s="1">
        <v>5654</v>
      </c>
    </row>
    <row r="32" spans="1:48" ht="30" customHeight="1">
      <c r="A32" s="7" t="s">
        <v>596</v>
      </c>
      <c r="B32" s="7" t="s">
        <v>50</v>
      </c>
      <c r="C32" s="7" t="s">
        <v>58</v>
      </c>
      <c r="D32" s="8">
        <v>63</v>
      </c>
      <c r="E32" s="9"/>
      <c r="F32" s="9"/>
      <c r="G32" s="9"/>
      <c r="H32" s="9"/>
      <c r="I32" s="9"/>
      <c r="J32" s="9"/>
      <c r="K32" s="9"/>
      <c r="L32" s="9"/>
      <c r="M32" s="7"/>
      <c r="N32" s="4" t="s">
        <v>95</v>
      </c>
      <c r="O32" s="4" t="s">
        <v>50</v>
      </c>
      <c r="P32" s="4" t="s">
        <v>50</v>
      </c>
      <c r="Q32" s="4" t="s">
        <v>50</v>
      </c>
      <c r="R32" s="4" t="s">
        <v>60</v>
      </c>
      <c r="S32" s="4" t="s">
        <v>61</v>
      </c>
      <c r="T32" s="4" t="s">
        <v>61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4" t="s">
        <v>50</v>
      </c>
      <c r="AS32" s="4" t="s">
        <v>50</v>
      </c>
      <c r="AT32" s="1"/>
      <c r="AU32" s="4" t="s">
        <v>96</v>
      </c>
      <c r="AV32" s="1">
        <v>5065</v>
      </c>
    </row>
    <row r="33" spans="1:48" ht="30" customHeight="1">
      <c r="A33" s="7" t="s">
        <v>597</v>
      </c>
      <c r="B33" s="7" t="s">
        <v>50</v>
      </c>
      <c r="C33" s="7" t="s">
        <v>58</v>
      </c>
      <c r="D33" s="8">
        <v>11</v>
      </c>
      <c r="E33" s="9"/>
      <c r="F33" s="9"/>
      <c r="G33" s="9"/>
      <c r="H33" s="9"/>
      <c r="I33" s="9"/>
      <c r="J33" s="9"/>
      <c r="K33" s="9"/>
      <c r="L33" s="9"/>
      <c r="M33" s="7"/>
      <c r="N33" s="4" t="s">
        <v>97</v>
      </c>
      <c r="O33" s="4" t="s">
        <v>50</v>
      </c>
      <c r="P33" s="4" t="s">
        <v>50</v>
      </c>
      <c r="Q33" s="4" t="s">
        <v>50</v>
      </c>
      <c r="R33" s="4" t="s">
        <v>60</v>
      </c>
      <c r="S33" s="4" t="s">
        <v>61</v>
      </c>
      <c r="T33" s="4" t="s">
        <v>61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4" t="s">
        <v>50</v>
      </c>
      <c r="AS33" s="4" t="s">
        <v>50</v>
      </c>
      <c r="AT33" s="1"/>
      <c r="AU33" s="4" t="s">
        <v>98</v>
      </c>
      <c r="AV33" s="1">
        <v>5655</v>
      </c>
    </row>
    <row r="34" spans="1:48" ht="30" customHeight="1">
      <c r="A34" s="7" t="s">
        <v>562</v>
      </c>
      <c r="B34" s="7" t="s">
        <v>99</v>
      </c>
      <c r="C34" s="7" t="s">
        <v>69</v>
      </c>
      <c r="D34" s="8">
        <v>1</v>
      </c>
      <c r="E34" s="9"/>
      <c r="F34" s="9"/>
      <c r="G34" s="9"/>
      <c r="H34" s="9"/>
      <c r="I34" s="9"/>
      <c r="J34" s="9"/>
      <c r="K34" s="9"/>
      <c r="L34" s="9"/>
      <c r="M34" s="7"/>
      <c r="N34" s="4" t="s">
        <v>100</v>
      </c>
      <c r="O34" s="4" t="s">
        <v>50</v>
      </c>
      <c r="P34" s="4" t="s">
        <v>50</v>
      </c>
      <c r="Q34" s="4" t="s">
        <v>50</v>
      </c>
      <c r="R34" s="4" t="s">
        <v>60</v>
      </c>
      <c r="S34" s="4" t="s">
        <v>61</v>
      </c>
      <c r="T34" s="4" t="s">
        <v>61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4" t="s">
        <v>50</v>
      </c>
      <c r="AS34" s="4" t="s">
        <v>50</v>
      </c>
      <c r="AT34" s="1"/>
      <c r="AU34" s="4" t="s">
        <v>101</v>
      </c>
      <c r="AV34" s="1">
        <v>5068</v>
      </c>
    </row>
    <row r="35" spans="1:48" ht="30" customHeight="1">
      <c r="A35" s="7" t="s">
        <v>102</v>
      </c>
      <c r="B35" s="7" t="s">
        <v>50</v>
      </c>
      <c r="C35" s="7" t="s">
        <v>103</v>
      </c>
      <c r="D35" s="8">
        <v>1</v>
      </c>
      <c r="E35" s="9"/>
      <c r="F35" s="9"/>
      <c r="G35" s="9"/>
      <c r="H35" s="9"/>
      <c r="I35" s="9"/>
      <c r="J35" s="9"/>
      <c r="K35" s="9"/>
      <c r="L35" s="9"/>
      <c r="M35" s="7"/>
      <c r="N35" s="4" t="s">
        <v>104</v>
      </c>
      <c r="O35" s="4" t="s">
        <v>50</v>
      </c>
      <c r="P35" s="4" t="s">
        <v>50</v>
      </c>
      <c r="Q35" s="4" t="s">
        <v>50</v>
      </c>
      <c r="R35" s="4" t="s">
        <v>60</v>
      </c>
      <c r="S35" s="4" t="s">
        <v>61</v>
      </c>
      <c r="T35" s="4" t="s">
        <v>61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4" t="s">
        <v>50</v>
      </c>
      <c r="AS35" s="4" t="s">
        <v>50</v>
      </c>
      <c r="AT35" s="1"/>
      <c r="AU35" s="4" t="s">
        <v>105</v>
      </c>
      <c r="AV35" s="1">
        <v>5656</v>
      </c>
    </row>
    <row r="36" spans="1:48" ht="30" customHeight="1">
      <c r="A36" s="7" t="s">
        <v>106</v>
      </c>
      <c r="B36" s="7" t="s">
        <v>107</v>
      </c>
      <c r="C36" s="7" t="s">
        <v>108</v>
      </c>
      <c r="D36" s="8">
        <v>9.8000000000000007</v>
      </c>
      <c r="E36" s="9"/>
      <c r="F36" s="9"/>
      <c r="G36" s="9"/>
      <c r="H36" s="9"/>
      <c r="I36" s="9"/>
      <c r="J36" s="9"/>
      <c r="K36" s="9"/>
      <c r="L36" s="9"/>
      <c r="M36" s="7"/>
      <c r="N36" s="4" t="s">
        <v>109</v>
      </c>
      <c r="O36" s="4" t="s">
        <v>50</v>
      </c>
      <c r="P36" s="4" t="s">
        <v>50</v>
      </c>
      <c r="Q36" s="4" t="s">
        <v>50</v>
      </c>
      <c r="R36" s="4" t="s">
        <v>60</v>
      </c>
      <c r="S36" s="4" t="s">
        <v>61</v>
      </c>
      <c r="T36" s="4" t="s">
        <v>61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4" t="s">
        <v>50</v>
      </c>
      <c r="AS36" s="4" t="s">
        <v>50</v>
      </c>
      <c r="AT36" s="1"/>
      <c r="AU36" s="4" t="s">
        <v>110</v>
      </c>
      <c r="AV36" s="1">
        <v>4884</v>
      </c>
    </row>
    <row r="37" spans="1:48" ht="30" customHeight="1">
      <c r="A37" s="7" t="s">
        <v>111</v>
      </c>
      <c r="B37" s="7" t="s">
        <v>112</v>
      </c>
      <c r="C37" s="7" t="s">
        <v>108</v>
      </c>
      <c r="D37" s="8">
        <v>9.8000000000000007</v>
      </c>
      <c r="E37" s="9"/>
      <c r="F37" s="9"/>
      <c r="G37" s="9"/>
      <c r="H37" s="9"/>
      <c r="I37" s="9"/>
      <c r="J37" s="9"/>
      <c r="K37" s="9"/>
      <c r="L37" s="9"/>
      <c r="M37" s="7"/>
      <c r="N37" s="4" t="s">
        <v>113</v>
      </c>
      <c r="O37" s="4" t="s">
        <v>50</v>
      </c>
      <c r="P37" s="4" t="s">
        <v>50</v>
      </c>
      <c r="Q37" s="4" t="s">
        <v>50</v>
      </c>
      <c r="R37" s="4" t="s">
        <v>60</v>
      </c>
      <c r="S37" s="4" t="s">
        <v>61</v>
      </c>
      <c r="T37" s="4" t="s">
        <v>61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4" t="s">
        <v>50</v>
      </c>
      <c r="AS37" s="4" t="s">
        <v>50</v>
      </c>
      <c r="AT37" s="1"/>
      <c r="AU37" s="4" t="s">
        <v>114</v>
      </c>
      <c r="AV37" s="1">
        <v>4885</v>
      </c>
    </row>
    <row r="38" spans="1:48" ht="30" customHeight="1">
      <c r="A38" s="7"/>
      <c r="B38" s="7"/>
      <c r="C38" s="7"/>
      <c r="D38" s="73"/>
      <c r="E38" s="9"/>
      <c r="F38" s="9"/>
      <c r="G38" s="9"/>
      <c r="H38" s="9"/>
      <c r="I38" s="9"/>
      <c r="J38" s="9"/>
      <c r="K38" s="9"/>
      <c r="L38" s="9"/>
      <c r="M38" s="7"/>
      <c r="N38" s="4"/>
      <c r="O38" s="4"/>
      <c r="P38" s="4"/>
      <c r="Q38" s="4"/>
      <c r="R38" s="4"/>
      <c r="S38" s="4"/>
      <c r="T38" s="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4"/>
      <c r="AS38" s="4"/>
      <c r="AT38" s="1"/>
      <c r="AU38" s="4"/>
      <c r="AV38" s="1"/>
    </row>
    <row r="39" spans="1:48" ht="3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48" ht="3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48" ht="3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48" ht="3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48" ht="3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48" ht="3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48" ht="3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48" ht="3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48" ht="3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48" ht="3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48" ht="3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48" ht="3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48" ht="30" customHeight="1">
      <c r="A51" s="8" t="s">
        <v>82</v>
      </c>
      <c r="B51" s="8"/>
      <c r="C51" s="8"/>
      <c r="D51" s="8"/>
      <c r="E51" s="8"/>
      <c r="F51" s="9">
        <f>SUM(F29:F50)</f>
        <v>0</v>
      </c>
      <c r="G51" s="8"/>
      <c r="H51" s="9">
        <f>SUM(H29:H50)</f>
        <v>0</v>
      </c>
      <c r="I51" s="8"/>
      <c r="J51" s="9">
        <f>SUM(J29:J50)</f>
        <v>0</v>
      </c>
      <c r="K51" s="8"/>
      <c r="L51" s="9">
        <f>SUM(L29:L50)</f>
        <v>0</v>
      </c>
      <c r="M51" s="8"/>
      <c r="N51" t="s">
        <v>83</v>
      </c>
    </row>
    <row r="52" spans="1:48" ht="30" customHeight="1">
      <c r="A52" s="7" t="s">
        <v>115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"/>
      <c r="O52" s="1"/>
      <c r="P52" s="1"/>
      <c r="Q52" s="4" t="s">
        <v>116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t="30" customHeight="1">
      <c r="A53" s="7" t="s">
        <v>117</v>
      </c>
      <c r="B53" s="7" t="s">
        <v>118</v>
      </c>
      <c r="C53" s="7" t="s">
        <v>58</v>
      </c>
      <c r="D53" s="8">
        <v>58</v>
      </c>
      <c r="E53" s="9"/>
      <c r="F53" s="9"/>
      <c r="G53" s="9"/>
      <c r="H53" s="9"/>
      <c r="I53" s="9"/>
      <c r="J53" s="9"/>
      <c r="K53" s="9"/>
      <c r="L53" s="9"/>
      <c r="M53" s="7"/>
      <c r="N53" s="4" t="s">
        <v>119</v>
      </c>
      <c r="O53" s="4" t="s">
        <v>50</v>
      </c>
      <c r="P53" s="4" t="s">
        <v>50</v>
      </c>
      <c r="Q53" s="4" t="s">
        <v>50</v>
      </c>
      <c r="R53" s="4" t="s">
        <v>60</v>
      </c>
      <c r="S53" s="4" t="s">
        <v>61</v>
      </c>
      <c r="T53" s="4" t="s">
        <v>61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4" t="s">
        <v>50</v>
      </c>
      <c r="AS53" s="4" t="s">
        <v>50</v>
      </c>
      <c r="AT53" s="1"/>
      <c r="AU53" s="4" t="s">
        <v>120</v>
      </c>
      <c r="AV53" s="1">
        <v>5666</v>
      </c>
    </row>
    <row r="54" spans="1:48" ht="30" customHeight="1">
      <c r="A54" s="7" t="s">
        <v>552</v>
      </c>
      <c r="B54" s="7" t="s">
        <v>551</v>
      </c>
      <c r="C54" s="7" t="s">
        <v>58</v>
      </c>
      <c r="D54" s="8">
        <v>58</v>
      </c>
      <c r="E54" s="9"/>
      <c r="F54" s="9"/>
      <c r="G54" s="9"/>
      <c r="H54" s="9"/>
      <c r="I54" s="9"/>
      <c r="J54" s="9"/>
      <c r="K54" s="9"/>
      <c r="L54" s="9"/>
      <c r="M54" s="7"/>
      <c r="N54" s="4" t="s">
        <v>121</v>
      </c>
      <c r="O54" s="4" t="s">
        <v>50</v>
      </c>
      <c r="P54" s="4" t="s">
        <v>50</v>
      </c>
      <c r="Q54" s="4" t="s">
        <v>50</v>
      </c>
      <c r="R54" s="4" t="s">
        <v>60</v>
      </c>
      <c r="S54" s="4" t="s">
        <v>61</v>
      </c>
      <c r="T54" s="4" t="s">
        <v>61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4" t="s">
        <v>50</v>
      </c>
      <c r="AS54" s="4" t="s">
        <v>50</v>
      </c>
      <c r="AT54" s="1"/>
      <c r="AU54" s="4" t="s">
        <v>122</v>
      </c>
      <c r="AV54" s="1">
        <v>4711</v>
      </c>
    </row>
    <row r="55" spans="1:48" ht="30" customHeight="1">
      <c r="A55" s="7" t="s">
        <v>123</v>
      </c>
      <c r="B55" s="7" t="s">
        <v>124</v>
      </c>
      <c r="C55" s="7" t="s">
        <v>58</v>
      </c>
      <c r="D55" s="8">
        <v>102</v>
      </c>
      <c r="E55" s="9"/>
      <c r="F55" s="9"/>
      <c r="G55" s="9"/>
      <c r="H55" s="9"/>
      <c r="I55" s="9"/>
      <c r="J55" s="9"/>
      <c r="K55" s="9"/>
      <c r="L55" s="9"/>
      <c r="M55" s="7"/>
      <c r="N55" s="4" t="s">
        <v>125</v>
      </c>
      <c r="O55" s="4" t="s">
        <v>50</v>
      </c>
      <c r="P55" s="4" t="s">
        <v>50</v>
      </c>
      <c r="Q55" s="4" t="s">
        <v>50</v>
      </c>
      <c r="R55" s="4" t="s">
        <v>60</v>
      </c>
      <c r="S55" s="4" t="s">
        <v>61</v>
      </c>
      <c r="T55" s="4" t="s">
        <v>61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4" t="s">
        <v>50</v>
      </c>
      <c r="AS55" s="4" t="s">
        <v>50</v>
      </c>
      <c r="AT55" s="1"/>
      <c r="AU55" s="4" t="s">
        <v>126</v>
      </c>
      <c r="AV55" s="1">
        <v>5667</v>
      </c>
    </row>
    <row r="56" spans="1:48" ht="30" customHeight="1">
      <c r="A56" s="7" t="s">
        <v>127</v>
      </c>
      <c r="B56" s="7" t="s">
        <v>128</v>
      </c>
      <c r="C56" s="7" t="s">
        <v>58</v>
      </c>
      <c r="D56" s="8">
        <v>102</v>
      </c>
      <c r="E56" s="9"/>
      <c r="F56" s="9"/>
      <c r="G56" s="9"/>
      <c r="H56" s="9"/>
      <c r="I56" s="9"/>
      <c r="J56" s="9"/>
      <c r="K56" s="9"/>
      <c r="L56" s="9"/>
      <c r="M56" s="7"/>
      <c r="N56" s="4" t="s">
        <v>129</v>
      </c>
      <c r="O56" s="4" t="s">
        <v>50</v>
      </c>
      <c r="P56" s="4" t="s">
        <v>50</v>
      </c>
      <c r="Q56" s="4" t="s">
        <v>50</v>
      </c>
      <c r="R56" s="4" t="s">
        <v>60</v>
      </c>
      <c r="S56" s="4" t="s">
        <v>61</v>
      </c>
      <c r="T56" s="4" t="s">
        <v>61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4" t="s">
        <v>50</v>
      </c>
      <c r="AS56" s="4" t="s">
        <v>50</v>
      </c>
      <c r="AT56" s="1"/>
      <c r="AU56" s="4" t="s">
        <v>130</v>
      </c>
      <c r="AV56" s="1">
        <v>5668</v>
      </c>
    </row>
    <row r="57" spans="1:48" ht="30" customHeight="1">
      <c r="A57" s="7" t="s">
        <v>131</v>
      </c>
      <c r="B57" s="7" t="s">
        <v>132</v>
      </c>
      <c r="C57" s="7" t="s">
        <v>58</v>
      </c>
      <c r="D57" s="8">
        <v>62</v>
      </c>
      <c r="E57" s="9"/>
      <c r="F57" s="9"/>
      <c r="G57" s="9"/>
      <c r="H57" s="9"/>
      <c r="I57" s="9"/>
      <c r="J57" s="9"/>
      <c r="K57" s="9"/>
      <c r="L57" s="9"/>
      <c r="M57" s="7" t="s">
        <v>564</v>
      </c>
      <c r="N57" s="4" t="s">
        <v>133</v>
      </c>
      <c r="O57" s="4" t="s">
        <v>50</v>
      </c>
      <c r="P57" s="4" t="s">
        <v>50</v>
      </c>
      <c r="Q57" s="4" t="s">
        <v>50</v>
      </c>
      <c r="R57" s="4" t="s">
        <v>61</v>
      </c>
      <c r="S57" s="4" t="s">
        <v>61</v>
      </c>
      <c r="T57" s="4" t="s">
        <v>60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4" t="s">
        <v>50</v>
      </c>
      <c r="AS57" s="4" t="s">
        <v>50</v>
      </c>
      <c r="AT57" s="1"/>
      <c r="AU57" s="4" t="s">
        <v>134</v>
      </c>
      <c r="AV57" s="1">
        <v>5669</v>
      </c>
    </row>
    <row r="58" spans="1:48" ht="30" customHeight="1">
      <c r="A58" s="7" t="s">
        <v>546</v>
      </c>
      <c r="B58" s="7" t="s">
        <v>135</v>
      </c>
      <c r="C58" s="7" t="s">
        <v>58</v>
      </c>
      <c r="D58" s="8">
        <v>12</v>
      </c>
      <c r="E58" s="9"/>
      <c r="F58" s="9"/>
      <c r="G58" s="9"/>
      <c r="H58" s="9"/>
      <c r="I58" s="9"/>
      <c r="J58" s="9"/>
      <c r="K58" s="9"/>
      <c r="L58" s="9"/>
      <c r="M58" s="7"/>
      <c r="N58" s="4" t="s">
        <v>136</v>
      </c>
      <c r="O58" s="4" t="s">
        <v>50</v>
      </c>
      <c r="P58" s="4" t="s">
        <v>50</v>
      </c>
      <c r="Q58" s="4" t="s">
        <v>50</v>
      </c>
      <c r="R58" s="4" t="s">
        <v>60</v>
      </c>
      <c r="S58" s="4" t="s">
        <v>61</v>
      </c>
      <c r="T58" s="4" t="s">
        <v>61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4" t="s">
        <v>50</v>
      </c>
      <c r="AS58" s="4" t="s">
        <v>50</v>
      </c>
      <c r="AT58" s="1"/>
      <c r="AU58" s="4" t="s">
        <v>137</v>
      </c>
      <c r="AV58" s="1">
        <v>5665</v>
      </c>
    </row>
    <row r="59" spans="1:48" ht="30" customHeight="1">
      <c r="A59" s="7" t="s">
        <v>138</v>
      </c>
      <c r="B59" s="7" t="s">
        <v>139</v>
      </c>
      <c r="C59" s="7" t="s">
        <v>140</v>
      </c>
      <c r="D59" s="8">
        <v>29</v>
      </c>
      <c r="E59" s="9"/>
      <c r="F59" s="9"/>
      <c r="G59" s="9"/>
      <c r="H59" s="9"/>
      <c r="I59" s="9"/>
      <c r="J59" s="9"/>
      <c r="K59" s="9"/>
      <c r="L59" s="9"/>
      <c r="M59" s="7"/>
      <c r="N59" s="4" t="s">
        <v>141</v>
      </c>
      <c r="O59" s="4" t="s">
        <v>50</v>
      </c>
      <c r="P59" s="4" t="s">
        <v>50</v>
      </c>
      <c r="Q59" s="4" t="s">
        <v>50</v>
      </c>
      <c r="R59" s="4" t="s">
        <v>60</v>
      </c>
      <c r="S59" s="4" t="s">
        <v>61</v>
      </c>
      <c r="T59" s="4" t="s">
        <v>61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4" t="s">
        <v>50</v>
      </c>
      <c r="AS59" s="4" t="s">
        <v>50</v>
      </c>
      <c r="AT59" s="1"/>
      <c r="AU59" s="4" t="s">
        <v>142</v>
      </c>
      <c r="AV59" s="1">
        <v>5297</v>
      </c>
    </row>
    <row r="60" spans="1:48" ht="30" customHeight="1">
      <c r="A60" s="7" t="s">
        <v>143</v>
      </c>
      <c r="B60" s="7" t="s">
        <v>144</v>
      </c>
      <c r="C60" s="7" t="s">
        <v>145</v>
      </c>
      <c r="D60" s="8">
        <v>1</v>
      </c>
      <c r="E60" s="9"/>
      <c r="F60" s="9"/>
      <c r="G60" s="9"/>
      <c r="H60" s="9"/>
      <c r="I60" s="9"/>
      <c r="J60" s="9"/>
      <c r="K60" s="9"/>
      <c r="L60" s="9"/>
      <c r="M60" s="7"/>
      <c r="N60" s="4" t="s">
        <v>146</v>
      </c>
      <c r="O60" s="4" t="s">
        <v>50</v>
      </c>
      <c r="P60" s="4" t="s">
        <v>50</v>
      </c>
      <c r="Q60" s="4" t="s">
        <v>50</v>
      </c>
      <c r="R60" s="4" t="s">
        <v>61</v>
      </c>
      <c r="S60" s="4" t="s">
        <v>61</v>
      </c>
      <c r="T60" s="4" t="s">
        <v>60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4" t="s">
        <v>50</v>
      </c>
      <c r="AS60" s="4" t="s">
        <v>50</v>
      </c>
      <c r="AT60" s="1"/>
      <c r="AU60" s="4" t="s">
        <v>147</v>
      </c>
      <c r="AV60" s="1">
        <v>5664</v>
      </c>
    </row>
    <row r="61" spans="1:48" ht="30" customHeight="1">
      <c r="A61" s="7" t="s">
        <v>553</v>
      </c>
      <c r="B61" s="7" t="s">
        <v>554</v>
      </c>
      <c r="C61" s="7" t="s">
        <v>58</v>
      </c>
      <c r="D61" s="73">
        <v>58</v>
      </c>
      <c r="E61" s="9"/>
      <c r="F61" s="9"/>
      <c r="G61" s="9"/>
      <c r="H61" s="9"/>
      <c r="I61" s="9"/>
      <c r="J61" s="9"/>
      <c r="K61" s="9"/>
      <c r="L61" s="9"/>
      <c r="M61" s="8"/>
    </row>
    <row r="62" spans="1:48" ht="30" customHeight="1">
      <c r="A62" s="7" t="s">
        <v>603</v>
      </c>
      <c r="B62" s="7"/>
      <c r="C62" s="7" t="s">
        <v>604</v>
      </c>
      <c r="D62" s="75">
        <v>21</v>
      </c>
      <c r="E62" s="9"/>
      <c r="F62" s="9"/>
      <c r="G62" s="9"/>
      <c r="H62" s="9"/>
      <c r="I62" s="9"/>
      <c r="J62" s="9"/>
      <c r="K62" s="9"/>
      <c r="L62" s="9"/>
      <c r="M62" s="8"/>
    </row>
    <row r="63" spans="1:48" ht="3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48" ht="3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48" ht="3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48" ht="3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48" ht="3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48" ht="3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48" ht="3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48" ht="3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48" ht="3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48" ht="3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48" ht="3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48" ht="30" customHeight="1">
      <c r="A74" s="8" t="s">
        <v>82</v>
      </c>
      <c r="B74" s="8"/>
      <c r="C74" s="8"/>
      <c r="D74" s="8"/>
      <c r="E74" s="8"/>
      <c r="F74" s="9">
        <f>SUM(F53:F73)</f>
        <v>0</v>
      </c>
      <c r="G74" s="8"/>
      <c r="H74" s="9">
        <f>SUM(H53:H73)</f>
        <v>0</v>
      </c>
      <c r="I74" s="8"/>
      <c r="J74" s="9">
        <f>SUM(J53:J73)</f>
        <v>0</v>
      </c>
      <c r="K74" s="8"/>
      <c r="L74" s="9">
        <f>SUM(L53:L73)</f>
        <v>0</v>
      </c>
      <c r="M74" s="8"/>
      <c r="N74" t="s">
        <v>83</v>
      </c>
    </row>
    <row r="75" spans="1:48" ht="30" customHeight="1">
      <c r="A75" s="7" t="s">
        <v>148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1"/>
      <c r="O75" s="1"/>
      <c r="P75" s="1"/>
      <c r="Q75" s="4" t="s">
        <v>149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ht="30" customHeight="1">
      <c r="A76" s="7" t="s">
        <v>547</v>
      </c>
      <c r="B76" s="7" t="s">
        <v>550</v>
      </c>
      <c r="C76" s="7" t="s">
        <v>58</v>
      </c>
      <c r="D76" s="8">
        <v>29</v>
      </c>
      <c r="E76" s="9"/>
      <c r="F76" s="9"/>
      <c r="G76" s="9"/>
      <c r="H76" s="9"/>
      <c r="I76" s="9"/>
      <c r="J76" s="9"/>
      <c r="K76" s="9"/>
      <c r="L76" s="9"/>
      <c r="M76" s="7"/>
      <c r="N76" s="4" t="s">
        <v>150</v>
      </c>
      <c r="O76" s="4" t="s">
        <v>50</v>
      </c>
      <c r="P76" s="4" t="s">
        <v>50</v>
      </c>
      <c r="Q76" s="4" t="s">
        <v>50</v>
      </c>
      <c r="R76" s="4" t="s">
        <v>60</v>
      </c>
      <c r="S76" s="4" t="s">
        <v>61</v>
      </c>
      <c r="T76" s="4" t="s">
        <v>61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4" t="s">
        <v>50</v>
      </c>
      <c r="AS76" s="4" t="s">
        <v>50</v>
      </c>
      <c r="AT76" s="1"/>
      <c r="AU76" s="4" t="s">
        <v>151</v>
      </c>
      <c r="AV76" s="1">
        <v>4718</v>
      </c>
    </row>
    <row r="77" spans="1:48" ht="30" customHeight="1">
      <c r="A77" s="7" t="s">
        <v>152</v>
      </c>
      <c r="B77" s="7" t="s">
        <v>600</v>
      </c>
      <c r="C77" s="7" t="s">
        <v>140</v>
      </c>
      <c r="D77" s="74">
        <v>10</v>
      </c>
      <c r="E77" s="9"/>
      <c r="F77" s="9"/>
      <c r="G77" s="9"/>
      <c r="H77" s="9"/>
      <c r="I77" s="9"/>
      <c r="J77" s="9"/>
      <c r="K77" s="9"/>
      <c r="L77" s="9"/>
      <c r="M77" s="7"/>
      <c r="N77" s="4"/>
      <c r="O77" s="4"/>
      <c r="P77" s="4"/>
      <c r="Q77" s="4"/>
      <c r="R77" s="4"/>
      <c r="S77" s="4"/>
      <c r="T77" s="4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4"/>
      <c r="AS77" s="4"/>
      <c r="AT77" s="1"/>
      <c r="AU77" s="4"/>
      <c r="AV77" s="1"/>
    </row>
    <row r="78" spans="1:48" ht="30" customHeight="1">
      <c r="A78" s="7" t="s">
        <v>152</v>
      </c>
      <c r="B78" s="7" t="s">
        <v>153</v>
      </c>
      <c r="C78" s="7" t="s">
        <v>140</v>
      </c>
      <c r="D78" s="8">
        <v>44</v>
      </c>
      <c r="E78" s="9"/>
      <c r="F78" s="9"/>
      <c r="G78" s="9"/>
      <c r="H78" s="9"/>
      <c r="I78" s="9"/>
      <c r="J78" s="9"/>
      <c r="K78" s="9"/>
      <c r="L78" s="9"/>
      <c r="M78" s="7"/>
      <c r="N78" s="4" t="s">
        <v>154</v>
      </c>
      <c r="O78" s="4" t="s">
        <v>50</v>
      </c>
      <c r="P78" s="4" t="s">
        <v>50</v>
      </c>
      <c r="Q78" s="4" t="s">
        <v>50</v>
      </c>
      <c r="R78" s="4" t="s">
        <v>61</v>
      </c>
      <c r="S78" s="4" t="s">
        <v>61</v>
      </c>
      <c r="T78" s="4" t="s">
        <v>60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4" t="s">
        <v>50</v>
      </c>
      <c r="AS78" s="4" t="s">
        <v>50</v>
      </c>
      <c r="AT78" s="1"/>
      <c r="AU78" s="4" t="s">
        <v>155</v>
      </c>
      <c r="AV78" s="1">
        <v>4785</v>
      </c>
    </row>
    <row r="79" spans="1:48" ht="30" customHeight="1">
      <c r="A79" s="7" t="s">
        <v>156</v>
      </c>
      <c r="B79" s="7" t="s">
        <v>157</v>
      </c>
      <c r="C79" s="7" t="s">
        <v>158</v>
      </c>
      <c r="D79" s="8">
        <v>78</v>
      </c>
      <c r="E79" s="9"/>
      <c r="F79" s="9"/>
      <c r="G79" s="9"/>
      <c r="H79" s="9"/>
      <c r="I79" s="9"/>
      <c r="J79" s="9"/>
      <c r="K79" s="9"/>
      <c r="L79" s="9"/>
      <c r="M79" s="7"/>
      <c r="N79" s="4" t="s">
        <v>159</v>
      </c>
      <c r="O79" s="4" t="s">
        <v>50</v>
      </c>
      <c r="P79" s="4" t="s">
        <v>50</v>
      </c>
      <c r="Q79" s="4" t="s">
        <v>50</v>
      </c>
      <c r="R79" s="4" t="s">
        <v>61</v>
      </c>
      <c r="S79" s="4" t="s">
        <v>61</v>
      </c>
      <c r="T79" s="4" t="s">
        <v>60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4" t="s">
        <v>50</v>
      </c>
      <c r="AS79" s="4" t="s">
        <v>50</v>
      </c>
      <c r="AT79" s="1"/>
      <c r="AU79" s="4" t="s">
        <v>160</v>
      </c>
      <c r="AV79" s="1">
        <v>5657</v>
      </c>
    </row>
    <row r="80" spans="1:48" ht="30" customHeight="1">
      <c r="A80" s="7" t="s">
        <v>161</v>
      </c>
      <c r="B80" s="7" t="s">
        <v>162</v>
      </c>
      <c r="C80" s="7" t="s">
        <v>108</v>
      </c>
      <c r="D80" s="8">
        <v>0.08</v>
      </c>
      <c r="E80" s="9"/>
      <c r="F80" s="9"/>
      <c r="G80" s="9"/>
      <c r="H80" s="9"/>
      <c r="I80" s="9"/>
      <c r="J80" s="9"/>
      <c r="K80" s="9"/>
      <c r="L80" s="9"/>
      <c r="M80" s="7"/>
      <c r="N80" s="4" t="s">
        <v>163</v>
      </c>
      <c r="O80" s="4" t="s">
        <v>50</v>
      </c>
      <c r="P80" s="4" t="s">
        <v>50</v>
      </c>
      <c r="Q80" s="4" t="s">
        <v>50</v>
      </c>
      <c r="R80" s="4" t="s">
        <v>60</v>
      </c>
      <c r="S80" s="4" t="s">
        <v>61</v>
      </c>
      <c r="T80" s="4" t="s">
        <v>61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4" t="s">
        <v>50</v>
      </c>
      <c r="AS80" s="4" t="s">
        <v>50</v>
      </c>
      <c r="AT80" s="1"/>
      <c r="AU80" s="4" t="s">
        <v>164</v>
      </c>
      <c r="AV80" s="1">
        <v>4725</v>
      </c>
    </row>
    <row r="81" spans="1:48" ht="30" customHeight="1">
      <c r="A81" s="7" t="s">
        <v>563</v>
      </c>
      <c r="B81" s="7" t="s">
        <v>166</v>
      </c>
      <c r="C81" s="7" t="s">
        <v>158</v>
      </c>
      <c r="D81" s="8">
        <v>71</v>
      </c>
      <c r="E81" s="9"/>
      <c r="F81" s="9"/>
      <c r="G81" s="9"/>
      <c r="H81" s="9"/>
      <c r="I81" s="9"/>
      <c r="J81" s="9"/>
      <c r="K81" s="9"/>
      <c r="L81" s="9"/>
      <c r="M81" s="7"/>
      <c r="N81" s="4" t="s">
        <v>168</v>
      </c>
      <c r="O81" s="4" t="s">
        <v>50</v>
      </c>
      <c r="P81" s="4" t="s">
        <v>50</v>
      </c>
      <c r="Q81" s="4" t="s">
        <v>50</v>
      </c>
      <c r="R81" s="4" t="s">
        <v>60</v>
      </c>
      <c r="S81" s="4" t="s">
        <v>61</v>
      </c>
      <c r="T81" s="4" t="s">
        <v>61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4" t="s">
        <v>50</v>
      </c>
      <c r="AS81" s="4" t="s">
        <v>50</v>
      </c>
      <c r="AT81" s="1"/>
      <c r="AU81" s="4" t="s">
        <v>169</v>
      </c>
      <c r="AV81" s="1">
        <v>4726</v>
      </c>
    </row>
    <row r="82" spans="1:48" ht="30" customHeight="1">
      <c r="A82" s="7" t="s">
        <v>170</v>
      </c>
      <c r="B82" s="7" t="s">
        <v>171</v>
      </c>
      <c r="C82" s="7" t="s">
        <v>140</v>
      </c>
      <c r="D82" s="8">
        <v>2</v>
      </c>
      <c r="E82" s="9"/>
      <c r="F82" s="9"/>
      <c r="G82" s="9"/>
      <c r="H82" s="9"/>
      <c r="I82" s="9"/>
      <c r="J82" s="9"/>
      <c r="K82" s="9"/>
      <c r="L82" s="9"/>
      <c r="M82" s="7"/>
      <c r="N82" s="4" t="s">
        <v>172</v>
      </c>
      <c r="O82" s="4" t="s">
        <v>50</v>
      </c>
      <c r="P82" s="4" t="s">
        <v>50</v>
      </c>
      <c r="Q82" s="4" t="s">
        <v>50</v>
      </c>
      <c r="R82" s="4" t="s">
        <v>60</v>
      </c>
      <c r="S82" s="4" t="s">
        <v>61</v>
      </c>
      <c r="T82" s="4" t="s">
        <v>61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4" t="s">
        <v>50</v>
      </c>
      <c r="AS82" s="4" t="s">
        <v>50</v>
      </c>
      <c r="AT82" s="1"/>
      <c r="AU82" s="4" t="s">
        <v>173</v>
      </c>
      <c r="AV82" s="1">
        <v>4728</v>
      </c>
    </row>
    <row r="83" spans="1:48" ht="30" customHeight="1">
      <c r="A83" s="7" t="s">
        <v>174</v>
      </c>
      <c r="B83" s="7" t="s">
        <v>175</v>
      </c>
      <c r="C83" s="7" t="s">
        <v>176</v>
      </c>
      <c r="D83" s="8">
        <v>2</v>
      </c>
      <c r="E83" s="9"/>
      <c r="F83" s="9"/>
      <c r="G83" s="9"/>
      <c r="H83" s="9"/>
      <c r="I83" s="9"/>
      <c r="J83" s="9"/>
      <c r="K83" s="9"/>
      <c r="L83" s="9"/>
      <c r="M83" s="7"/>
      <c r="N83" s="4" t="s">
        <v>177</v>
      </c>
      <c r="O83" s="4" t="s">
        <v>50</v>
      </c>
      <c r="P83" s="4" t="s">
        <v>50</v>
      </c>
      <c r="Q83" s="4" t="s">
        <v>50</v>
      </c>
      <c r="R83" s="4" t="s">
        <v>60</v>
      </c>
      <c r="S83" s="4" t="s">
        <v>61</v>
      </c>
      <c r="T83" s="4" t="s">
        <v>61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4" t="s">
        <v>50</v>
      </c>
      <c r="AS83" s="4" t="s">
        <v>50</v>
      </c>
      <c r="AT83" s="1"/>
      <c r="AU83" s="4" t="s">
        <v>178</v>
      </c>
      <c r="AV83" s="1">
        <v>5658</v>
      </c>
    </row>
    <row r="84" spans="1:48" ht="30" customHeight="1">
      <c r="A84" s="7"/>
      <c r="B84" s="7"/>
      <c r="C84" s="7"/>
      <c r="D84" s="75"/>
      <c r="E84" s="9"/>
      <c r="F84" s="9"/>
      <c r="G84" s="9"/>
      <c r="H84" s="9"/>
      <c r="I84" s="9"/>
      <c r="J84" s="9"/>
      <c r="K84" s="9"/>
      <c r="L84" s="9"/>
      <c r="M84" s="7"/>
      <c r="N84" s="4"/>
      <c r="O84" s="4"/>
      <c r="P84" s="4"/>
      <c r="Q84" s="4"/>
      <c r="R84" s="4"/>
      <c r="S84" s="4"/>
      <c r="T84" s="4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4"/>
      <c r="AS84" s="4"/>
      <c r="AT84" s="1"/>
      <c r="AU84" s="4"/>
      <c r="AV84" s="1"/>
    </row>
    <row r="85" spans="1:48" ht="30" customHeight="1">
      <c r="A85" s="7"/>
      <c r="B85" s="7"/>
      <c r="C85" s="7"/>
      <c r="D85" s="73"/>
      <c r="E85" s="9"/>
      <c r="F85" s="9"/>
      <c r="G85" s="9"/>
      <c r="H85" s="9"/>
      <c r="I85" s="9"/>
      <c r="J85" s="9"/>
      <c r="K85" s="9"/>
      <c r="L85" s="9"/>
      <c r="M85" s="7"/>
      <c r="N85" s="4"/>
      <c r="O85" s="4"/>
      <c r="P85" s="4"/>
      <c r="Q85" s="4"/>
      <c r="R85" s="4"/>
      <c r="S85" s="4"/>
      <c r="T85" s="4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4"/>
      <c r="AS85" s="4"/>
      <c r="AT85" s="1"/>
      <c r="AU85" s="4"/>
      <c r="AV85" s="1"/>
    </row>
    <row r="86" spans="1:48" ht="3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48" ht="3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48" ht="3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48" ht="3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48" ht="3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48" ht="3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48" ht="3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48" ht="3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48" ht="3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48" ht="3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48" ht="3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48" ht="3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48" ht="30" customHeight="1">
      <c r="A98" s="8" t="s">
        <v>82</v>
      </c>
      <c r="B98" s="8"/>
      <c r="C98" s="8"/>
      <c r="D98" s="8"/>
      <c r="E98" s="8"/>
      <c r="F98" s="9">
        <f>SUM(F76:F97)</f>
        <v>0</v>
      </c>
      <c r="G98" s="8"/>
      <c r="H98" s="9">
        <f>SUM(H76:H97)</f>
        <v>0</v>
      </c>
      <c r="I98" s="8"/>
      <c r="J98" s="9">
        <f>SUM(J76:J97)</f>
        <v>0</v>
      </c>
      <c r="K98" s="8"/>
      <c r="L98" s="9">
        <f>SUM(L76:L97)</f>
        <v>0</v>
      </c>
      <c r="M98" s="8"/>
      <c r="N98" t="s">
        <v>83</v>
      </c>
    </row>
    <row r="99" spans="1:48" ht="30" customHeight="1">
      <c r="A99" s="7" t="s">
        <v>179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1"/>
      <c r="O99" s="1"/>
      <c r="P99" s="1"/>
      <c r="Q99" s="4" t="s">
        <v>180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30" customHeight="1">
      <c r="A100" s="7" t="s">
        <v>181</v>
      </c>
      <c r="B100" s="7" t="s">
        <v>182</v>
      </c>
      <c r="C100" s="7" t="s">
        <v>58</v>
      </c>
      <c r="D100" s="8">
        <v>5</v>
      </c>
      <c r="E100" s="9"/>
      <c r="F100" s="9"/>
      <c r="G100" s="9"/>
      <c r="H100" s="9"/>
      <c r="I100" s="9"/>
      <c r="J100" s="9"/>
      <c r="K100" s="9"/>
      <c r="L100" s="9"/>
      <c r="M100" s="7"/>
      <c r="N100" s="4" t="s">
        <v>183</v>
      </c>
      <c r="O100" s="4" t="s">
        <v>50</v>
      </c>
      <c r="P100" s="4" t="s">
        <v>50</v>
      </c>
      <c r="Q100" s="4" t="s">
        <v>50</v>
      </c>
      <c r="R100" s="4" t="s">
        <v>60</v>
      </c>
      <c r="S100" s="4" t="s">
        <v>61</v>
      </c>
      <c r="T100" s="4" t="s">
        <v>61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4" t="s">
        <v>50</v>
      </c>
      <c r="AS100" s="4" t="s">
        <v>50</v>
      </c>
      <c r="AT100" s="1"/>
      <c r="AU100" s="4" t="s">
        <v>184</v>
      </c>
      <c r="AV100" s="1">
        <v>4730</v>
      </c>
    </row>
    <row r="101" spans="1:48" ht="30" customHeight="1">
      <c r="A101" s="7" t="s">
        <v>185</v>
      </c>
      <c r="B101" s="7" t="s">
        <v>186</v>
      </c>
      <c r="C101" s="7" t="s">
        <v>58</v>
      </c>
      <c r="D101" s="8">
        <v>21</v>
      </c>
      <c r="E101" s="9"/>
      <c r="F101" s="9"/>
      <c r="G101" s="9"/>
      <c r="H101" s="9"/>
      <c r="I101" s="9"/>
      <c r="J101" s="9"/>
      <c r="K101" s="9"/>
      <c r="L101" s="9"/>
      <c r="M101" s="7"/>
      <c r="N101" s="4" t="s">
        <v>187</v>
      </c>
      <c r="O101" s="4" t="s">
        <v>50</v>
      </c>
      <c r="P101" s="4" t="s">
        <v>50</v>
      </c>
      <c r="Q101" s="4" t="s">
        <v>50</v>
      </c>
      <c r="R101" s="4" t="s">
        <v>60</v>
      </c>
      <c r="S101" s="4" t="s">
        <v>61</v>
      </c>
      <c r="T101" s="4" t="s">
        <v>61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4" t="s">
        <v>50</v>
      </c>
      <c r="AS101" s="4" t="s">
        <v>50</v>
      </c>
      <c r="AT101" s="1"/>
      <c r="AU101" s="4" t="s">
        <v>188</v>
      </c>
      <c r="AV101" s="1">
        <v>5659</v>
      </c>
    </row>
    <row r="102" spans="1:48" ht="30" customHeight="1">
      <c r="A102" s="7" t="s">
        <v>185</v>
      </c>
      <c r="B102" s="7" t="s">
        <v>189</v>
      </c>
      <c r="C102" s="7" t="s">
        <v>58</v>
      </c>
      <c r="D102" s="8">
        <v>62</v>
      </c>
      <c r="E102" s="9"/>
      <c r="F102" s="9"/>
      <c r="G102" s="9"/>
      <c r="H102" s="9"/>
      <c r="I102" s="9"/>
      <c r="J102" s="9"/>
      <c r="K102" s="9"/>
      <c r="L102" s="9"/>
      <c r="M102" s="7"/>
      <c r="N102" s="4" t="s">
        <v>190</v>
      </c>
      <c r="O102" s="4" t="s">
        <v>50</v>
      </c>
      <c r="P102" s="4" t="s">
        <v>50</v>
      </c>
      <c r="Q102" s="4" t="s">
        <v>50</v>
      </c>
      <c r="R102" s="4" t="s">
        <v>60</v>
      </c>
      <c r="S102" s="4" t="s">
        <v>61</v>
      </c>
      <c r="T102" s="4" t="s">
        <v>61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4" t="s">
        <v>50</v>
      </c>
      <c r="AS102" s="4" t="s">
        <v>50</v>
      </c>
      <c r="AT102" s="1"/>
      <c r="AU102" s="4" t="s">
        <v>191</v>
      </c>
      <c r="AV102" s="1">
        <v>5660</v>
      </c>
    </row>
    <row r="103" spans="1:48" ht="3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48" ht="3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48" ht="3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48" ht="3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48" ht="3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48" ht="3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48" ht="3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48" ht="3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48" ht="3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48" ht="3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48" ht="3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48" ht="3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48" ht="3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48" ht="3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48" ht="3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48" ht="3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48" ht="3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48" ht="3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48" ht="3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48" ht="30" customHeight="1">
      <c r="A122" s="8" t="s">
        <v>82</v>
      </c>
      <c r="B122" s="8"/>
      <c r="C122" s="8"/>
      <c r="D122" s="8"/>
      <c r="E122" s="8"/>
      <c r="F122" s="9">
        <f>SUM(F100:F121)</f>
        <v>0</v>
      </c>
      <c r="G122" s="8"/>
      <c r="H122" s="9">
        <f>SUM(H100:H121)</f>
        <v>0</v>
      </c>
      <c r="I122" s="8"/>
      <c r="J122" s="9">
        <f>SUM(J100:J121)</f>
        <v>0</v>
      </c>
      <c r="K122" s="8"/>
      <c r="L122" s="9">
        <f>SUM(L100:L121)</f>
        <v>0</v>
      </c>
      <c r="M122" s="8"/>
      <c r="N122" t="s">
        <v>83</v>
      </c>
    </row>
    <row r="123" spans="1:48" ht="30" customHeight="1">
      <c r="A123" s="7" t="s">
        <v>192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1"/>
      <c r="O123" s="1"/>
      <c r="P123" s="1"/>
      <c r="Q123" s="4" t="s">
        <v>193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ht="30" customHeight="1">
      <c r="A124" s="7" t="s">
        <v>194</v>
      </c>
      <c r="B124" s="7" t="s">
        <v>99</v>
      </c>
      <c r="C124" s="7" t="s">
        <v>69</v>
      </c>
      <c r="D124" s="8">
        <v>2</v>
      </c>
      <c r="E124" s="9"/>
      <c r="F124" s="9"/>
      <c r="G124" s="9"/>
      <c r="H124" s="9"/>
      <c r="I124" s="9"/>
      <c r="J124" s="9"/>
      <c r="K124" s="9"/>
      <c r="L124" s="9"/>
      <c r="M124" s="7"/>
      <c r="N124" s="4" t="s">
        <v>195</v>
      </c>
      <c r="O124" s="4" t="s">
        <v>50</v>
      </c>
      <c r="P124" s="4" t="s">
        <v>50</v>
      </c>
      <c r="Q124" s="4" t="s">
        <v>50</v>
      </c>
      <c r="R124" s="4" t="s">
        <v>60</v>
      </c>
      <c r="S124" s="4" t="s">
        <v>61</v>
      </c>
      <c r="T124" s="4" t="s">
        <v>61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4" t="s">
        <v>50</v>
      </c>
      <c r="AS124" s="4" t="s">
        <v>50</v>
      </c>
      <c r="AT124" s="1"/>
      <c r="AU124" s="4" t="s">
        <v>196</v>
      </c>
      <c r="AV124" s="1">
        <v>5616</v>
      </c>
    </row>
    <row r="125" spans="1:48" ht="3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48" ht="3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48" ht="3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48" ht="3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 ht="3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 ht="3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ht="3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ht="3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ht="3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ht="3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 ht="3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 ht="3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 ht="3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ht="3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ht="3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ht="3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ht="3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 ht="3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 ht="3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ht="3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48" ht="3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48" ht="30" customHeight="1">
      <c r="A146" s="8" t="s">
        <v>82</v>
      </c>
      <c r="B146" s="8"/>
      <c r="C146" s="8"/>
      <c r="D146" s="8"/>
      <c r="E146" s="8"/>
      <c r="F146" s="9">
        <f>SUM(F124:F145)</f>
        <v>0</v>
      </c>
      <c r="G146" s="8"/>
      <c r="H146" s="9">
        <f>SUM(H124:H145)</f>
        <v>0</v>
      </c>
      <c r="I146" s="8"/>
      <c r="J146" s="9">
        <f>SUM(J124:J145)</f>
        <v>0</v>
      </c>
      <c r="K146" s="8"/>
      <c r="L146" s="9">
        <f>SUM(L124:L145)</f>
        <v>0</v>
      </c>
      <c r="M146" s="8"/>
      <c r="N146" t="s">
        <v>83</v>
      </c>
    </row>
    <row r="147" spans="1:48" ht="30" customHeight="1">
      <c r="A147" s="7" t="s">
        <v>197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1"/>
      <c r="O147" s="1"/>
      <c r="P147" s="1"/>
      <c r="Q147" s="4" t="s">
        <v>198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ht="30" customHeight="1">
      <c r="A148" s="7" t="s">
        <v>199</v>
      </c>
      <c r="B148" s="7" t="s">
        <v>200</v>
      </c>
      <c r="C148" s="7" t="s">
        <v>58</v>
      </c>
      <c r="D148" s="8">
        <v>12</v>
      </c>
      <c r="E148" s="9"/>
      <c r="F148" s="9"/>
      <c r="G148" s="9"/>
      <c r="H148" s="9"/>
      <c r="I148" s="9"/>
      <c r="J148" s="9"/>
      <c r="K148" s="9"/>
      <c r="L148" s="9"/>
      <c r="M148" s="7" t="s">
        <v>50</v>
      </c>
      <c r="N148" s="4" t="s">
        <v>201</v>
      </c>
      <c r="O148" s="4" t="s">
        <v>50</v>
      </c>
      <c r="P148" s="4" t="s">
        <v>50</v>
      </c>
      <c r="Q148" s="4" t="s">
        <v>50</v>
      </c>
      <c r="R148" s="4" t="s">
        <v>61</v>
      </c>
      <c r="S148" s="4" t="s">
        <v>61</v>
      </c>
      <c r="T148" s="4" t="s">
        <v>60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4" t="s">
        <v>50</v>
      </c>
      <c r="AS148" s="4" t="s">
        <v>50</v>
      </c>
      <c r="AT148" s="1"/>
      <c r="AU148" s="4" t="s">
        <v>202</v>
      </c>
      <c r="AV148" s="1">
        <v>4739</v>
      </c>
    </row>
    <row r="149" spans="1:48" ht="3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48" ht="3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48" ht="3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48" ht="3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48" ht="3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48" ht="3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48" ht="3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48" ht="3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48" ht="3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48" ht="3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48" ht="3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48" ht="3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48" ht="3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48" ht="3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48" ht="3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48" ht="3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48" ht="3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48" ht="3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48" ht="3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48" ht="3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48" ht="3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48" ht="30" customHeight="1">
      <c r="A170" s="8" t="s">
        <v>82</v>
      </c>
      <c r="B170" s="8"/>
      <c r="C170" s="8"/>
      <c r="D170" s="8"/>
      <c r="E170" s="8"/>
      <c r="F170" s="9">
        <f>SUM(F148:F169)</f>
        <v>0</v>
      </c>
      <c r="G170" s="8"/>
      <c r="H170" s="9">
        <f>SUM(H148:H169)</f>
        <v>0</v>
      </c>
      <c r="I170" s="8"/>
      <c r="J170" s="9">
        <f>SUM(J148:J169)</f>
        <v>0</v>
      </c>
      <c r="K170" s="8"/>
      <c r="L170" s="9">
        <f>SUM(L148:L169)</f>
        <v>0</v>
      </c>
      <c r="M170" s="8"/>
      <c r="N170" t="s">
        <v>83</v>
      </c>
    </row>
    <row r="171" spans="1:48" ht="30" customHeight="1">
      <c r="A171" s="7" t="s">
        <v>203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1"/>
      <c r="O171" s="1"/>
      <c r="P171" s="1"/>
      <c r="Q171" s="4" t="s">
        <v>204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ht="30" customHeight="1">
      <c r="A172" s="7" t="s">
        <v>205</v>
      </c>
      <c r="B172" s="7" t="s">
        <v>593</v>
      </c>
      <c r="C172" s="7" t="s">
        <v>206</v>
      </c>
      <c r="D172" s="8">
        <v>2</v>
      </c>
      <c r="E172" s="9"/>
      <c r="F172" s="9"/>
      <c r="G172" s="9"/>
      <c r="H172" s="9"/>
      <c r="I172" s="9"/>
      <c r="J172" s="9"/>
      <c r="K172" s="9"/>
      <c r="L172" s="9"/>
      <c r="M172" s="7" t="s">
        <v>50</v>
      </c>
      <c r="N172" s="4" t="s">
        <v>207</v>
      </c>
      <c r="O172" s="4" t="s">
        <v>50</v>
      </c>
      <c r="P172" s="4" t="s">
        <v>50</v>
      </c>
      <c r="Q172" s="4" t="s">
        <v>50</v>
      </c>
      <c r="R172" s="4" t="s">
        <v>61</v>
      </c>
      <c r="S172" s="4" t="s">
        <v>61</v>
      </c>
      <c r="T172" s="4" t="s">
        <v>60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4" t="s">
        <v>50</v>
      </c>
      <c r="AS172" s="4" t="s">
        <v>50</v>
      </c>
      <c r="AT172" s="1"/>
      <c r="AU172" s="4" t="s">
        <v>208</v>
      </c>
      <c r="AV172" s="1">
        <v>5054</v>
      </c>
    </row>
    <row r="173" spans="1:48" ht="30" customHeight="1">
      <c r="A173" s="7" t="s">
        <v>209</v>
      </c>
      <c r="B173" s="7" t="s">
        <v>50</v>
      </c>
      <c r="C173" s="7" t="s">
        <v>210</v>
      </c>
      <c r="D173" s="8">
        <v>2</v>
      </c>
      <c r="E173" s="9"/>
      <c r="F173" s="9"/>
      <c r="G173" s="9"/>
      <c r="H173" s="9"/>
      <c r="I173" s="9"/>
      <c r="J173" s="9"/>
      <c r="K173" s="9"/>
      <c r="L173" s="9"/>
      <c r="M173" s="7" t="s">
        <v>50</v>
      </c>
      <c r="N173" s="4" t="s">
        <v>211</v>
      </c>
      <c r="O173" s="4" t="s">
        <v>50</v>
      </c>
      <c r="P173" s="4" t="s">
        <v>50</v>
      </c>
      <c r="Q173" s="4" t="s">
        <v>50</v>
      </c>
      <c r="R173" s="4" t="s">
        <v>61</v>
      </c>
      <c r="S173" s="4" t="s">
        <v>61</v>
      </c>
      <c r="T173" s="4" t="s">
        <v>60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4" t="s">
        <v>50</v>
      </c>
      <c r="AS173" s="4" t="s">
        <v>50</v>
      </c>
      <c r="AT173" s="1"/>
      <c r="AU173" s="4" t="s">
        <v>212</v>
      </c>
      <c r="AV173" s="1">
        <v>4789</v>
      </c>
    </row>
    <row r="174" spans="1:48" ht="30" customHeight="1">
      <c r="A174" s="7" t="s">
        <v>590</v>
      </c>
      <c r="B174" s="7" t="s">
        <v>50</v>
      </c>
      <c r="C174" s="7" t="s">
        <v>140</v>
      </c>
      <c r="D174" s="73">
        <v>20</v>
      </c>
      <c r="E174" s="9"/>
      <c r="F174" s="9"/>
      <c r="G174" s="9"/>
      <c r="H174" s="9"/>
      <c r="I174" s="9"/>
      <c r="J174" s="9"/>
      <c r="K174" s="9"/>
      <c r="L174" s="9"/>
      <c r="M174" s="7"/>
      <c r="N174" s="4"/>
      <c r="O174" s="4"/>
      <c r="P174" s="4"/>
      <c r="Q174" s="4"/>
      <c r="R174" s="4"/>
      <c r="S174" s="4"/>
      <c r="T174" s="4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4"/>
      <c r="AS174" s="4"/>
      <c r="AT174" s="1"/>
      <c r="AU174" s="4"/>
      <c r="AV174" s="1"/>
    </row>
    <row r="175" spans="1:48" ht="3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1:48" ht="3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3" ht="3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1:13" ht="3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ht="3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3" ht="3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3" ht="3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1:13" ht="3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1:13" ht="3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1:13" ht="3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3" ht="3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3" ht="3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3" ht="3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1:13" ht="3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1:13" ht="3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1:13" ht="3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 ht="3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 ht="30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48" ht="30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48" ht="30" customHeight="1">
      <c r="A194" s="8" t="s">
        <v>82</v>
      </c>
      <c r="B194" s="8"/>
      <c r="C194" s="8"/>
      <c r="D194" s="8"/>
      <c r="E194" s="8"/>
      <c r="F194" s="9">
        <f>SUM(F172:F193)</f>
        <v>0</v>
      </c>
      <c r="G194" s="8"/>
      <c r="H194" s="9">
        <f>SUM(H172:H193)</f>
        <v>0</v>
      </c>
      <c r="I194" s="8"/>
      <c r="J194" s="9">
        <f>SUM(J172:J193)</f>
        <v>0</v>
      </c>
      <c r="K194" s="8"/>
      <c r="L194" s="9">
        <f>SUM(L172:L193)</f>
        <v>0</v>
      </c>
      <c r="M194" s="8"/>
      <c r="N194" t="s">
        <v>83</v>
      </c>
    </row>
    <row r="195" spans="1:48" ht="30" customHeight="1">
      <c r="A195" s="7" t="s">
        <v>213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1"/>
      <c r="O195" s="1"/>
      <c r="P195" s="1"/>
      <c r="Q195" s="4" t="s">
        <v>214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ht="30" customHeight="1">
      <c r="A196" s="7" t="s">
        <v>215</v>
      </c>
      <c r="B196" s="7" t="s">
        <v>216</v>
      </c>
      <c r="C196" s="7" t="s">
        <v>167</v>
      </c>
      <c r="D196" s="8">
        <v>4</v>
      </c>
      <c r="E196" s="9"/>
      <c r="F196" s="9"/>
      <c r="G196" s="9"/>
      <c r="H196" s="9"/>
      <c r="I196" s="9"/>
      <c r="J196" s="9"/>
      <c r="K196" s="9"/>
      <c r="L196" s="9"/>
      <c r="M196" s="7" t="s">
        <v>217</v>
      </c>
      <c r="N196" s="4" t="s">
        <v>218</v>
      </c>
      <c r="O196" s="4" t="s">
        <v>50</v>
      </c>
      <c r="P196" s="4" t="s">
        <v>50</v>
      </c>
      <c r="Q196" s="4" t="s">
        <v>50</v>
      </c>
      <c r="R196" s="4" t="s">
        <v>61</v>
      </c>
      <c r="S196" s="4" t="s">
        <v>61</v>
      </c>
      <c r="T196" s="4" t="s">
        <v>60</v>
      </c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4" t="s">
        <v>50</v>
      </c>
      <c r="AS196" s="4" t="s">
        <v>50</v>
      </c>
      <c r="AT196" s="1"/>
      <c r="AU196" s="4" t="s">
        <v>219</v>
      </c>
      <c r="AV196" s="1">
        <v>4746</v>
      </c>
    </row>
    <row r="197" spans="1:48" ht="30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1:48" ht="30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spans="1:48" ht="30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1:48" ht="30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48" ht="30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1:48" ht="30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48" ht="30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1:48" ht="30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1:48" ht="30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spans="1:48" ht="30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1:48" ht="30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48" ht="30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spans="1:48" ht="30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48" ht="30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spans="1:48" ht="30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spans="1:48" ht="30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1:48" ht="30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spans="1:48" ht="30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48" ht="30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spans="1:48" ht="30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spans="1:48" ht="30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spans="1:48" ht="30" customHeight="1">
      <c r="A218" s="8" t="s">
        <v>82</v>
      </c>
      <c r="B218" s="8"/>
      <c r="C218" s="8"/>
      <c r="D218" s="8"/>
      <c r="E218" s="8"/>
      <c r="F218" s="9">
        <f>SUM(F196:F217)</f>
        <v>0</v>
      </c>
      <c r="G218" s="8"/>
      <c r="H218" s="9">
        <f>SUM(H196:H217)</f>
        <v>0</v>
      </c>
      <c r="I218" s="8"/>
      <c r="J218" s="9">
        <f>SUM(J196:J217)</f>
        <v>0</v>
      </c>
      <c r="K218" s="8"/>
      <c r="L218" s="9">
        <f>SUM(L196:L217)</f>
        <v>0</v>
      </c>
      <c r="M218" s="8"/>
      <c r="N218" t="s">
        <v>83</v>
      </c>
    </row>
    <row r="219" spans="1:48" ht="30" customHeight="1">
      <c r="A219" s="71" t="s">
        <v>565</v>
      </c>
      <c r="B219" s="72"/>
      <c r="C219" s="72"/>
      <c r="D219" s="72"/>
      <c r="E219" s="72"/>
      <c r="F219" s="9"/>
      <c r="G219" s="72"/>
      <c r="H219" s="9"/>
      <c r="I219" s="72"/>
      <c r="J219" s="9"/>
      <c r="K219" s="72"/>
      <c r="L219" s="9"/>
      <c r="M219" s="72"/>
    </row>
    <row r="220" spans="1:48" ht="30" customHeight="1">
      <c r="A220" s="7" t="s">
        <v>222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1"/>
      <c r="O220" s="1"/>
      <c r="P220" s="1"/>
      <c r="Q220" s="4" t="s">
        <v>223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ht="30" customHeight="1">
      <c r="A221" s="7" t="s">
        <v>544</v>
      </c>
      <c r="B221" s="7" t="s">
        <v>72</v>
      </c>
      <c r="C221" s="7" t="s">
        <v>73</v>
      </c>
      <c r="D221" s="8">
        <v>2</v>
      </c>
      <c r="E221" s="9"/>
      <c r="F221" s="9"/>
      <c r="G221" s="9"/>
      <c r="H221" s="9"/>
      <c r="I221" s="9"/>
      <c r="J221" s="9"/>
      <c r="K221" s="9"/>
      <c r="L221" s="9"/>
      <c r="M221" s="7"/>
      <c r="N221" s="4" t="s">
        <v>74</v>
      </c>
      <c r="O221" s="4" t="s">
        <v>50</v>
      </c>
      <c r="P221" s="4" t="s">
        <v>50</v>
      </c>
      <c r="Q221" s="4" t="s">
        <v>50</v>
      </c>
      <c r="R221" s="4" t="s">
        <v>60</v>
      </c>
      <c r="S221" s="4" t="s">
        <v>61</v>
      </c>
      <c r="T221" s="4" t="s">
        <v>61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4" t="s">
        <v>50</v>
      </c>
      <c r="AS221" s="4" t="s">
        <v>50</v>
      </c>
      <c r="AT221" s="1"/>
      <c r="AU221" s="4" t="s">
        <v>224</v>
      </c>
      <c r="AV221" s="1">
        <v>5695</v>
      </c>
    </row>
    <row r="222" spans="1:48" ht="30" customHeight="1">
      <c r="A222" s="7" t="s">
        <v>545</v>
      </c>
      <c r="B222" s="7" t="s">
        <v>76</v>
      </c>
      <c r="C222" s="7" t="s">
        <v>58</v>
      </c>
      <c r="D222" s="8">
        <v>79</v>
      </c>
      <c r="E222" s="9"/>
      <c r="F222" s="9"/>
      <c r="G222" s="9"/>
      <c r="H222" s="9"/>
      <c r="I222" s="9"/>
      <c r="J222" s="9"/>
      <c r="K222" s="9"/>
      <c r="L222" s="9"/>
      <c r="M222" s="7"/>
      <c r="N222" s="4" t="s">
        <v>77</v>
      </c>
      <c r="O222" s="4" t="s">
        <v>50</v>
      </c>
      <c r="P222" s="4" t="s">
        <v>50</v>
      </c>
      <c r="Q222" s="4" t="s">
        <v>50</v>
      </c>
      <c r="R222" s="4" t="s">
        <v>60</v>
      </c>
      <c r="S222" s="4" t="s">
        <v>61</v>
      </c>
      <c r="T222" s="4" t="s">
        <v>61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4" t="s">
        <v>50</v>
      </c>
      <c r="AS222" s="4" t="s">
        <v>50</v>
      </c>
      <c r="AT222" s="1"/>
      <c r="AU222" s="4" t="s">
        <v>225</v>
      </c>
      <c r="AV222" s="1">
        <v>5696</v>
      </c>
    </row>
    <row r="223" spans="1:48" ht="30" customHeight="1">
      <c r="A223" s="7" t="s">
        <v>79</v>
      </c>
      <c r="B223" s="7" t="s">
        <v>76</v>
      </c>
      <c r="C223" s="7" t="s">
        <v>58</v>
      </c>
      <c r="D223" s="8">
        <v>79</v>
      </c>
      <c r="E223" s="9"/>
      <c r="F223" s="9"/>
      <c r="G223" s="9"/>
      <c r="H223" s="9"/>
      <c r="I223" s="9"/>
      <c r="J223" s="9"/>
      <c r="K223" s="9"/>
      <c r="L223" s="9"/>
      <c r="M223" s="7"/>
      <c r="N223" s="4" t="s">
        <v>80</v>
      </c>
      <c r="O223" s="4" t="s">
        <v>50</v>
      </c>
      <c r="P223" s="4" t="s">
        <v>50</v>
      </c>
      <c r="Q223" s="4" t="s">
        <v>50</v>
      </c>
      <c r="R223" s="4" t="s">
        <v>60</v>
      </c>
      <c r="S223" s="4" t="s">
        <v>61</v>
      </c>
      <c r="T223" s="4" t="s">
        <v>61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4" t="s">
        <v>50</v>
      </c>
      <c r="AS223" s="4" t="s">
        <v>50</v>
      </c>
      <c r="AT223" s="1"/>
      <c r="AU223" s="4" t="s">
        <v>226</v>
      </c>
      <c r="AV223" s="1">
        <v>5697</v>
      </c>
    </row>
    <row r="224" spans="1:48" ht="3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spans="1:13" ht="3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1:13" ht="3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1:13" ht="3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1:13" ht="3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 ht="3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ht="3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ht="3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ht="3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ht="3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ht="3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ht="3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1:13" ht="3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1:13" ht="3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1:13" ht="3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1:13" ht="3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spans="1:13" ht="3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spans="1:48" ht="3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spans="1:48" ht="30" customHeight="1">
      <c r="A242" s="8" t="s">
        <v>82</v>
      </c>
      <c r="B242" s="8"/>
      <c r="C242" s="8"/>
      <c r="D242" s="8"/>
      <c r="E242" s="8"/>
      <c r="F242" s="9">
        <f>SUM(F221:F241)</f>
        <v>0</v>
      </c>
      <c r="G242" s="8"/>
      <c r="H242" s="9">
        <f>SUM(H221:H241)</f>
        <v>0</v>
      </c>
      <c r="I242" s="8"/>
      <c r="J242" s="9">
        <f>SUM(J221:J241)</f>
        <v>0</v>
      </c>
      <c r="K242" s="8"/>
      <c r="L242" s="9">
        <f>SUM(L221:L241)</f>
        <v>0</v>
      </c>
      <c r="M242" s="8"/>
      <c r="N242" t="s">
        <v>83</v>
      </c>
    </row>
    <row r="243" spans="1:48" ht="30" customHeight="1">
      <c r="A243" s="7" t="s">
        <v>227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1"/>
      <c r="O243" s="1"/>
      <c r="P243" s="1"/>
      <c r="Q243" s="4" t="s">
        <v>228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ht="30" customHeight="1">
      <c r="A244" s="7" t="s">
        <v>559</v>
      </c>
      <c r="B244" s="7" t="s">
        <v>86</v>
      </c>
      <c r="C244" s="7" t="s">
        <v>58</v>
      </c>
      <c r="D244" s="8">
        <v>91</v>
      </c>
      <c r="E244" s="9"/>
      <c r="F244" s="9"/>
      <c r="G244" s="9"/>
      <c r="H244" s="9"/>
      <c r="I244" s="9"/>
      <c r="J244" s="9"/>
      <c r="K244" s="9"/>
      <c r="L244" s="9"/>
      <c r="M244" s="7"/>
      <c r="N244" s="4" t="s">
        <v>87</v>
      </c>
      <c r="O244" s="4" t="s">
        <v>50</v>
      </c>
      <c r="P244" s="4" t="s">
        <v>50</v>
      </c>
      <c r="Q244" s="4" t="s">
        <v>50</v>
      </c>
      <c r="R244" s="4" t="s">
        <v>60</v>
      </c>
      <c r="S244" s="4" t="s">
        <v>61</v>
      </c>
      <c r="T244" s="4" t="s">
        <v>61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4" t="s">
        <v>50</v>
      </c>
      <c r="AS244" s="4" t="s">
        <v>50</v>
      </c>
      <c r="AT244" s="1"/>
      <c r="AU244" s="4" t="s">
        <v>229</v>
      </c>
      <c r="AV244" s="1">
        <v>5699</v>
      </c>
    </row>
    <row r="245" spans="1:48" ht="30" customHeight="1">
      <c r="A245" s="7" t="s">
        <v>594</v>
      </c>
      <c r="B245" s="7" t="s">
        <v>89</v>
      </c>
      <c r="C245" s="7" t="s">
        <v>58</v>
      </c>
      <c r="D245" s="8">
        <v>91</v>
      </c>
      <c r="E245" s="9"/>
      <c r="F245" s="9"/>
      <c r="G245" s="9"/>
      <c r="H245" s="9"/>
      <c r="I245" s="9"/>
      <c r="J245" s="9"/>
      <c r="K245" s="9"/>
      <c r="L245" s="9"/>
      <c r="M245" s="7"/>
      <c r="N245" s="4" t="s">
        <v>91</v>
      </c>
      <c r="O245" s="4" t="s">
        <v>50</v>
      </c>
      <c r="P245" s="4" t="s">
        <v>50</v>
      </c>
      <c r="Q245" s="4" t="s">
        <v>50</v>
      </c>
      <c r="R245" s="4" t="s">
        <v>60</v>
      </c>
      <c r="S245" s="4" t="s">
        <v>61</v>
      </c>
      <c r="T245" s="4" t="s">
        <v>61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4" t="s">
        <v>50</v>
      </c>
      <c r="AS245" s="4" t="s">
        <v>50</v>
      </c>
      <c r="AT245" s="1"/>
      <c r="AU245" s="4" t="s">
        <v>230</v>
      </c>
      <c r="AV245" s="1">
        <v>5701</v>
      </c>
    </row>
    <row r="246" spans="1:48" ht="30" customHeight="1">
      <c r="A246" s="7" t="s">
        <v>596</v>
      </c>
      <c r="B246" s="7" t="s">
        <v>50</v>
      </c>
      <c r="C246" s="7" t="s">
        <v>58</v>
      </c>
      <c r="D246" s="8">
        <v>139</v>
      </c>
      <c r="E246" s="9"/>
      <c r="F246" s="9"/>
      <c r="G246" s="9"/>
      <c r="H246" s="9"/>
      <c r="I246" s="9"/>
      <c r="J246" s="9"/>
      <c r="K246" s="9"/>
      <c r="L246" s="9"/>
      <c r="M246" s="7"/>
      <c r="N246" s="4" t="s">
        <v>95</v>
      </c>
      <c r="O246" s="4" t="s">
        <v>50</v>
      </c>
      <c r="P246" s="4" t="s">
        <v>50</v>
      </c>
      <c r="Q246" s="4" t="s">
        <v>50</v>
      </c>
      <c r="R246" s="4" t="s">
        <v>60</v>
      </c>
      <c r="S246" s="4" t="s">
        <v>61</v>
      </c>
      <c r="T246" s="4" t="s">
        <v>61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4" t="s">
        <v>50</v>
      </c>
      <c r="AS246" s="4" t="s">
        <v>50</v>
      </c>
      <c r="AT246" s="1"/>
      <c r="AU246" s="4" t="s">
        <v>231</v>
      </c>
      <c r="AV246" s="1">
        <v>5703</v>
      </c>
    </row>
    <row r="247" spans="1:48" ht="30" customHeight="1">
      <c r="A247" s="7" t="s">
        <v>597</v>
      </c>
      <c r="B247" s="7" t="s">
        <v>50</v>
      </c>
      <c r="C247" s="7" t="s">
        <v>58</v>
      </c>
      <c r="D247" s="8">
        <v>8</v>
      </c>
      <c r="E247" s="9"/>
      <c r="F247" s="9"/>
      <c r="G247" s="9"/>
      <c r="H247" s="9"/>
      <c r="I247" s="9"/>
      <c r="J247" s="9"/>
      <c r="K247" s="9"/>
      <c r="L247" s="9"/>
      <c r="M247" s="7"/>
      <c r="N247" s="4" t="s">
        <v>97</v>
      </c>
      <c r="O247" s="4" t="s">
        <v>50</v>
      </c>
      <c r="P247" s="4" t="s">
        <v>50</v>
      </c>
      <c r="Q247" s="4" t="s">
        <v>50</v>
      </c>
      <c r="R247" s="4" t="s">
        <v>60</v>
      </c>
      <c r="S247" s="4" t="s">
        <v>61</v>
      </c>
      <c r="T247" s="4" t="s">
        <v>61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4" t="s">
        <v>50</v>
      </c>
      <c r="AS247" s="4" t="s">
        <v>50</v>
      </c>
      <c r="AT247" s="1"/>
      <c r="AU247" s="4" t="s">
        <v>232</v>
      </c>
      <c r="AV247" s="1">
        <v>5704</v>
      </c>
    </row>
    <row r="248" spans="1:48" ht="30" customHeight="1">
      <c r="A248" s="7" t="s">
        <v>562</v>
      </c>
      <c r="B248" s="7" t="s">
        <v>99</v>
      </c>
      <c r="C248" s="7" t="s">
        <v>69</v>
      </c>
      <c r="D248" s="8">
        <v>1</v>
      </c>
      <c r="E248" s="9"/>
      <c r="F248" s="9"/>
      <c r="G248" s="9"/>
      <c r="H248" s="9"/>
      <c r="I248" s="9"/>
      <c r="J248" s="9"/>
      <c r="K248" s="9"/>
      <c r="L248" s="9"/>
      <c r="M248" s="7"/>
      <c r="N248" s="4" t="s">
        <v>100</v>
      </c>
      <c r="O248" s="4" t="s">
        <v>50</v>
      </c>
      <c r="P248" s="4" t="s">
        <v>50</v>
      </c>
      <c r="Q248" s="4" t="s">
        <v>50</v>
      </c>
      <c r="R248" s="4" t="s">
        <v>60</v>
      </c>
      <c r="S248" s="4" t="s">
        <v>61</v>
      </c>
      <c r="T248" s="4" t="s">
        <v>61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4" t="s">
        <v>50</v>
      </c>
      <c r="AS248" s="4" t="s">
        <v>50</v>
      </c>
      <c r="AT248" s="1"/>
      <c r="AU248" s="4" t="s">
        <v>233</v>
      </c>
      <c r="AV248" s="1">
        <v>5705</v>
      </c>
    </row>
    <row r="249" spans="1:48" ht="30" customHeight="1">
      <c r="A249" s="7" t="s">
        <v>102</v>
      </c>
      <c r="B249" s="7" t="s">
        <v>50</v>
      </c>
      <c r="C249" s="7" t="s">
        <v>103</v>
      </c>
      <c r="D249" s="8">
        <v>1</v>
      </c>
      <c r="E249" s="9"/>
      <c r="F249" s="9"/>
      <c r="G249" s="9"/>
      <c r="H249" s="9"/>
      <c r="I249" s="9"/>
      <c r="J249" s="9"/>
      <c r="K249" s="9"/>
      <c r="L249" s="9"/>
      <c r="M249" s="7"/>
      <c r="N249" s="4" t="s">
        <v>104</v>
      </c>
      <c r="O249" s="4" t="s">
        <v>50</v>
      </c>
      <c r="P249" s="4" t="s">
        <v>50</v>
      </c>
      <c r="Q249" s="4" t="s">
        <v>50</v>
      </c>
      <c r="R249" s="4" t="s">
        <v>60</v>
      </c>
      <c r="S249" s="4" t="s">
        <v>61</v>
      </c>
      <c r="T249" s="4" t="s">
        <v>61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4" t="s">
        <v>50</v>
      </c>
      <c r="AS249" s="4" t="s">
        <v>50</v>
      </c>
      <c r="AT249" s="1"/>
      <c r="AU249" s="4" t="s">
        <v>234</v>
      </c>
      <c r="AV249" s="1">
        <v>5706</v>
      </c>
    </row>
    <row r="250" spans="1:48" ht="30" customHeight="1">
      <c r="A250" s="7" t="s">
        <v>106</v>
      </c>
      <c r="B250" s="7" t="s">
        <v>107</v>
      </c>
      <c r="C250" s="7" t="s">
        <v>108</v>
      </c>
      <c r="D250" s="8">
        <v>13.68</v>
      </c>
      <c r="E250" s="9"/>
      <c r="F250" s="9"/>
      <c r="G250" s="9"/>
      <c r="H250" s="9"/>
      <c r="I250" s="9"/>
      <c r="J250" s="9"/>
      <c r="K250" s="9"/>
      <c r="L250" s="9"/>
      <c r="M250" s="7"/>
      <c r="N250" s="4" t="s">
        <v>109</v>
      </c>
      <c r="O250" s="4" t="s">
        <v>50</v>
      </c>
      <c r="P250" s="4" t="s">
        <v>50</v>
      </c>
      <c r="Q250" s="4" t="s">
        <v>50</v>
      </c>
      <c r="R250" s="4" t="s">
        <v>60</v>
      </c>
      <c r="S250" s="4" t="s">
        <v>61</v>
      </c>
      <c r="T250" s="4" t="s">
        <v>61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4" t="s">
        <v>50</v>
      </c>
      <c r="AS250" s="4" t="s">
        <v>50</v>
      </c>
      <c r="AT250" s="1"/>
      <c r="AU250" s="4" t="s">
        <v>235</v>
      </c>
      <c r="AV250" s="1">
        <v>5707</v>
      </c>
    </row>
    <row r="251" spans="1:48" ht="30" customHeight="1">
      <c r="A251" s="7" t="s">
        <v>111</v>
      </c>
      <c r="B251" s="7" t="s">
        <v>112</v>
      </c>
      <c r="C251" s="7" t="s">
        <v>108</v>
      </c>
      <c r="D251" s="8">
        <v>13.68</v>
      </c>
      <c r="E251" s="9"/>
      <c r="F251" s="9"/>
      <c r="G251" s="9"/>
      <c r="H251" s="9"/>
      <c r="I251" s="9"/>
      <c r="J251" s="9"/>
      <c r="K251" s="9"/>
      <c r="L251" s="9"/>
      <c r="M251" s="7"/>
      <c r="N251" s="4" t="s">
        <v>113</v>
      </c>
      <c r="O251" s="4" t="s">
        <v>50</v>
      </c>
      <c r="P251" s="4" t="s">
        <v>50</v>
      </c>
      <c r="Q251" s="4" t="s">
        <v>50</v>
      </c>
      <c r="R251" s="4" t="s">
        <v>60</v>
      </c>
      <c r="S251" s="4" t="s">
        <v>61</v>
      </c>
      <c r="T251" s="4" t="s">
        <v>61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4" t="s">
        <v>50</v>
      </c>
      <c r="AS251" s="4" t="s">
        <v>50</v>
      </c>
      <c r="AT251" s="1"/>
      <c r="AU251" s="4" t="s">
        <v>236</v>
      </c>
      <c r="AV251" s="1">
        <v>5708</v>
      </c>
    </row>
    <row r="252" spans="1:48" ht="30" customHeight="1">
      <c r="A252" s="7"/>
      <c r="B252" s="7"/>
      <c r="C252" s="7"/>
      <c r="D252" s="73"/>
      <c r="E252" s="9"/>
      <c r="F252" s="9"/>
      <c r="G252" s="9"/>
      <c r="H252" s="9"/>
      <c r="I252" s="9"/>
      <c r="J252" s="9"/>
      <c r="K252" s="9"/>
      <c r="L252" s="9"/>
      <c r="M252" s="7"/>
      <c r="N252" s="4"/>
      <c r="O252" s="4"/>
      <c r="P252" s="4"/>
      <c r="Q252" s="4"/>
      <c r="R252" s="4"/>
      <c r="S252" s="4"/>
      <c r="T252" s="4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4"/>
      <c r="AS252" s="4"/>
      <c r="AT252" s="1"/>
      <c r="AU252" s="4"/>
      <c r="AV252" s="1"/>
    </row>
    <row r="253" spans="1:48" ht="3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spans="1:48" ht="3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spans="1:48" ht="3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spans="1:48" ht="3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spans="1:48" ht="3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48" ht="3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spans="1:48" ht="3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1:48" ht="3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spans="1:48" ht="3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spans="1:48" ht="3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spans="1:48" ht="3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spans="1:48" ht="3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spans="1:48" ht="3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spans="1:48" ht="30" customHeight="1">
      <c r="A266" s="8" t="s">
        <v>82</v>
      </c>
      <c r="B266" s="8"/>
      <c r="C266" s="8"/>
      <c r="D266" s="8"/>
      <c r="E266" s="8"/>
      <c r="F266" s="9">
        <f>SUM(F244:F265)</f>
        <v>0</v>
      </c>
      <c r="G266" s="8"/>
      <c r="H266" s="9">
        <f>SUM(H244:H265)</f>
        <v>0</v>
      </c>
      <c r="I266" s="8"/>
      <c r="J266" s="9">
        <f>SUM(J244:J265)</f>
        <v>0</v>
      </c>
      <c r="K266" s="8"/>
      <c r="L266" s="9">
        <f>SUM(L244:L265)</f>
        <v>0</v>
      </c>
      <c r="M266" s="8"/>
      <c r="N266" t="s">
        <v>83</v>
      </c>
    </row>
    <row r="267" spans="1:48" ht="30" customHeight="1">
      <c r="A267" s="7" t="s">
        <v>237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1"/>
      <c r="O267" s="1"/>
      <c r="P267" s="1"/>
      <c r="Q267" s="4" t="s">
        <v>238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ht="30" customHeight="1">
      <c r="A268" s="7" t="s">
        <v>117</v>
      </c>
      <c r="B268" s="7" t="s">
        <v>118</v>
      </c>
      <c r="C268" s="7" t="s">
        <v>58</v>
      </c>
      <c r="D268" s="8">
        <v>79</v>
      </c>
      <c r="E268" s="9"/>
      <c r="F268" s="9"/>
      <c r="G268" s="9"/>
      <c r="H268" s="9"/>
      <c r="I268" s="9"/>
      <c r="J268" s="9"/>
      <c r="K268" s="9"/>
      <c r="L268" s="9"/>
      <c r="M268" s="7"/>
      <c r="N268" s="4" t="s">
        <v>119</v>
      </c>
      <c r="O268" s="4" t="s">
        <v>50</v>
      </c>
      <c r="P268" s="4" t="s">
        <v>50</v>
      </c>
      <c r="Q268" s="4" t="s">
        <v>50</v>
      </c>
      <c r="R268" s="4" t="s">
        <v>60</v>
      </c>
      <c r="S268" s="4" t="s">
        <v>61</v>
      </c>
      <c r="T268" s="4" t="s">
        <v>61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4" t="s">
        <v>50</v>
      </c>
      <c r="AS268" s="4" t="s">
        <v>50</v>
      </c>
      <c r="AT268" s="1"/>
      <c r="AU268" s="4" t="s">
        <v>239</v>
      </c>
      <c r="AV268" s="1">
        <v>5710</v>
      </c>
    </row>
    <row r="269" spans="1:48" ht="30" customHeight="1">
      <c r="A269" s="7" t="s">
        <v>552</v>
      </c>
      <c r="B269" s="7" t="s">
        <v>551</v>
      </c>
      <c r="C269" s="7" t="s">
        <v>58</v>
      </c>
      <c r="D269" s="8">
        <v>79</v>
      </c>
      <c r="E269" s="9"/>
      <c r="F269" s="9"/>
      <c r="G269" s="9"/>
      <c r="H269" s="9"/>
      <c r="I269" s="9"/>
      <c r="J269" s="9"/>
      <c r="K269" s="9"/>
      <c r="L269" s="9"/>
      <c r="M269" s="7"/>
      <c r="N269" s="4" t="s">
        <v>121</v>
      </c>
      <c r="O269" s="4" t="s">
        <v>50</v>
      </c>
      <c r="P269" s="4" t="s">
        <v>50</v>
      </c>
      <c r="Q269" s="4" t="s">
        <v>50</v>
      </c>
      <c r="R269" s="4" t="s">
        <v>60</v>
      </c>
      <c r="S269" s="4" t="s">
        <v>61</v>
      </c>
      <c r="T269" s="4" t="s">
        <v>61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4" t="s">
        <v>50</v>
      </c>
      <c r="AS269" s="4" t="s">
        <v>50</v>
      </c>
      <c r="AT269" s="1"/>
      <c r="AU269" s="4" t="s">
        <v>240</v>
      </c>
      <c r="AV269" s="1">
        <v>5711</v>
      </c>
    </row>
    <row r="270" spans="1:48" ht="30" customHeight="1">
      <c r="A270" s="7" t="s">
        <v>123</v>
      </c>
      <c r="B270" s="7" t="s">
        <v>124</v>
      </c>
      <c r="C270" s="7" t="s">
        <v>58</v>
      </c>
      <c r="D270" s="8">
        <v>159</v>
      </c>
      <c r="E270" s="9"/>
      <c r="F270" s="9"/>
      <c r="G270" s="9"/>
      <c r="H270" s="9"/>
      <c r="I270" s="9"/>
      <c r="J270" s="9"/>
      <c r="K270" s="9"/>
      <c r="L270" s="9"/>
      <c r="M270" s="7"/>
      <c r="N270" s="4" t="s">
        <v>125</v>
      </c>
      <c r="O270" s="4" t="s">
        <v>50</v>
      </c>
      <c r="P270" s="4" t="s">
        <v>50</v>
      </c>
      <c r="Q270" s="4" t="s">
        <v>50</v>
      </c>
      <c r="R270" s="4" t="s">
        <v>60</v>
      </c>
      <c r="S270" s="4" t="s">
        <v>61</v>
      </c>
      <c r="T270" s="4" t="s">
        <v>61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4" t="s">
        <v>50</v>
      </c>
      <c r="AS270" s="4" t="s">
        <v>50</v>
      </c>
      <c r="AT270" s="1"/>
      <c r="AU270" s="4" t="s">
        <v>241</v>
      </c>
      <c r="AV270" s="1">
        <v>5712</v>
      </c>
    </row>
    <row r="271" spans="1:48" ht="30" customHeight="1">
      <c r="A271" s="7" t="s">
        <v>127</v>
      </c>
      <c r="B271" s="7" t="s">
        <v>128</v>
      </c>
      <c r="C271" s="7" t="s">
        <v>58</v>
      </c>
      <c r="D271" s="8">
        <v>159</v>
      </c>
      <c r="E271" s="9"/>
      <c r="F271" s="9"/>
      <c r="G271" s="9"/>
      <c r="H271" s="9"/>
      <c r="I271" s="9"/>
      <c r="J271" s="9"/>
      <c r="K271" s="9"/>
      <c r="L271" s="9"/>
      <c r="M271" s="7"/>
      <c r="N271" s="4" t="s">
        <v>129</v>
      </c>
      <c r="O271" s="4" t="s">
        <v>50</v>
      </c>
      <c r="P271" s="4" t="s">
        <v>50</v>
      </c>
      <c r="Q271" s="4" t="s">
        <v>50</v>
      </c>
      <c r="R271" s="4" t="s">
        <v>60</v>
      </c>
      <c r="S271" s="4" t="s">
        <v>61</v>
      </c>
      <c r="T271" s="4" t="s">
        <v>61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4" t="s">
        <v>50</v>
      </c>
      <c r="AS271" s="4" t="s">
        <v>50</v>
      </c>
      <c r="AT271" s="1"/>
      <c r="AU271" s="4" t="s">
        <v>242</v>
      </c>
      <c r="AV271" s="1">
        <v>5713</v>
      </c>
    </row>
    <row r="272" spans="1:48" ht="30" customHeight="1">
      <c r="A272" s="7" t="s">
        <v>131</v>
      </c>
      <c r="B272" s="7" t="s">
        <v>132</v>
      </c>
      <c r="C272" s="7" t="s">
        <v>58</v>
      </c>
      <c r="D272" s="8">
        <v>89</v>
      </c>
      <c r="E272" s="9"/>
      <c r="F272" s="9"/>
      <c r="G272" s="9"/>
      <c r="H272" s="9"/>
      <c r="I272" s="9"/>
      <c r="J272" s="9"/>
      <c r="K272" s="9"/>
      <c r="L272" s="9"/>
      <c r="M272" s="7" t="s">
        <v>564</v>
      </c>
      <c r="N272" s="4" t="s">
        <v>133</v>
      </c>
      <c r="O272" s="4" t="s">
        <v>50</v>
      </c>
      <c r="P272" s="4" t="s">
        <v>50</v>
      </c>
      <c r="Q272" s="4" t="s">
        <v>50</v>
      </c>
      <c r="R272" s="4" t="s">
        <v>61</v>
      </c>
      <c r="S272" s="4" t="s">
        <v>61</v>
      </c>
      <c r="T272" s="4" t="s">
        <v>60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4" t="s">
        <v>50</v>
      </c>
      <c r="AS272" s="4" t="s">
        <v>50</v>
      </c>
      <c r="AT272" s="1"/>
      <c r="AU272" s="4" t="s">
        <v>243</v>
      </c>
      <c r="AV272" s="1">
        <v>5714</v>
      </c>
    </row>
    <row r="273" spans="1:48" ht="30" customHeight="1">
      <c r="A273" s="7" t="s">
        <v>546</v>
      </c>
      <c r="B273" s="7" t="s">
        <v>135</v>
      </c>
      <c r="C273" s="7" t="s">
        <v>58</v>
      </c>
      <c r="D273" s="8">
        <v>12</v>
      </c>
      <c r="E273" s="9"/>
      <c r="F273" s="9"/>
      <c r="G273" s="9"/>
      <c r="H273" s="9"/>
      <c r="I273" s="9"/>
      <c r="J273" s="9"/>
      <c r="K273" s="9"/>
      <c r="L273" s="9"/>
      <c r="M273" s="7"/>
      <c r="N273" s="4" t="s">
        <v>136</v>
      </c>
      <c r="O273" s="4" t="s">
        <v>50</v>
      </c>
      <c r="P273" s="4" t="s">
        <v>50</v>
      </c>
      <c r="Q273" s="4" t="s">
        <v>50</v>
      </c>
      <c r="R273" s="4" t="s">
        <v>60</v>
      </c>
      <c r="S273" s="4" t="s">
        <v>61</v>
      </c>
      <c r="T273" s="4" t="s">
        <v>61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4" t="s">
        <v>50</v>
      </c>
      <c r="AS273" s="4" t="s">
        <v>50</v>
      </c>
      <c r="AT273" s="1"/>
      <c r="AU273" s="4" t="s">
        <v>244</v>
      </c>
      <c r="AV273" s="1">
        <v>5715</v>
      </c>
    </row>
    <row r="274" spans="1:48" ht="30" customHeight="1">
      <c r="A274" s="7" t="s">
        <v>138</v>
      </c>
      <c r="B274" s="7" t="s">
        <v>139</v>
      </c>
      <c r="C274" s="7" t="s">
        <v>140</v>
      </c>
      <c r="D274" s="8">
        <v>38</v>
      </c>
      <c r="E274" s="9"/>
      <c r="F274" s="9"/>
      <c r="G274" s="9"/>
      <c r="H274" s="9"/>
      <c r="I274" s="9"/>
      <c r="J274" s="9"/>
      <c r="K274" s="9"/>
      <c r="L274" s="9"/>
      <c r="M274" s="7"/>
      <c r="N274" s="4" t="s">
        <v>141</v>
      </c>
      <c r="O274" s="4" t="s">
        <v>50</v>
      </c>
      <c r="P274" s="4" t="s">
        <v>50</v>
      </c>
      <c r="Q274" s="4" t="s">
        <v>50</v>
      </c>
      <c r="R274" s="4" t="s">
        <v>60</v>
      </c>
      <c r="S274" s="4" t="s">
        <v>61</v>
      </c>
      <c r="T274" s="4" t="s">
        <v>61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4" t="s">
        <v>50</v>
      </c>
      <c r="AS274" s="4" t="s">
        <v>50</v>
      </c>
      <c r="AT274" s="1"/>
      <c r="AU274" s="4" t="s">
        <v>245</v>
      </c>
      <c r="AV274" s="1">
        <v>5716</v>
      </c>
    </row>
    <row r="275" spans="1:48" ht="30" customHeight="1">
      <c r="A275" s="7" t="s">
        <v>143</v>
      </c>
      <c r="B275" s="7" t="s">
        <v>588</v>
      </c>
      <c r="C275" s="7" t="s">
        <v>145</v>
      </c>
      <c r="D275" s="8">
        <v>1</v>
      </c>
      <c r="E275" s="9"/>
      <c r="F275" s="9"/>
      <c r="G275" s="9"/>
      <c r="H275" s="9"/>
      <c r="I275" s="9"/>
      <c r="J275" s="9"/>
      <c r="K275" s="9"/>
      <c r="L275" s="9"/>
      <c r="M275" s="7" t="s">
        <v>50</v>
      </c>
      <c r="N275" s="4" t="s">
        <v>146</v>
      </c>
      <c r="O275" s="4" t="s">
        <v>50</v>
      </c>
      <c r="P275" s="4" t="s">
        <v>50</v>
      </c>
      <c r="Q275" s="4" t="s">
        <v>50</v>
      </c>
      <c r="R275" s="4" t="s">
        <v>61</v>
      </c>
      <c r="S275" s="4" t="s">
        <v>61</v>
      </c>
      <c r="T275" s="4" t="s">
        <v>60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4" t="s">
        <v>50</v>
      </c>
      <c r="AS275" s="4" t="s">
        <v>50</v>
      </c>
      <c r="AT275" s="1"/>
      <c r="AU275" s="4" t="s">
        <v>246</v>
      </c>
      <c r="AV275" s="1">
        <v>5717</v>
      </c>
    </row>
    <row r="276" spans="1:48" ht="30" customHeight="1">
      <c r="A276" s="7" t="s">
        <v>553</v>
      </c>
      <c r="B276" s="7" t="s">
        <v>554</v>
      </c>
      <c r="C276" s="7" t="s">
        <v>58</v>
      </c>
      <c r="D276" s="73">
        <v>79</v>
      </c>
      <c r="E276" s="9"/>
      <c r="F276" s="9"/>
      <c r="G276" s="9"/>
      <c r="H276" s="9"/>
      <c r="I276" s="9"/>
      <c r="J276" s="9"/>
      <c r="K276" s="9"/>
      <c r="L276" s="9"/>
      <c r="M276" s="8"/>
    </row>
    <row r="277" spans="1:48" ht="30" customHeight="1">
      <c r="A277" s="7" t="s">
        <v>603</v>
      </c>
      <c r="B277" s="7"/>
      <c r="C277" s="7" t="s">
        <v>604</v>
      </c>
      <c r="D277" s="75">
        <v>18</v>
      </c>
      <c r="E277" s="9"/>
      <c r="F277" s="9"/>
      <c r="G277" s="9"/>
      <c r="H277" s="9"/>
      <c r="I277" s="9"/>
      <c r="J277" s="9"/>
      <c r="K277" s="9"/>
      <c r="L277" s="9"/>
      <c r="M277" s="8"/>
    </row>
    <row r="278" spans="1:48" ht="3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spans="1:48" ht="3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spans="1:48" ht="3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spans="1:48" ht="3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spans="1:48" ht="3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spans="1:48" ht="3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spans="1:48" ht="3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spans="1:48" ht="3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spans="1:48" ht="3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spans="1:48" ht="3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spans="1:48" ht="3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spans="1:48" ht="3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spans="1:48" ht="30" customHeight="1">
      <c r="A290" s="8" t="s">
        <v>82</v>
      </c>
      <c r="B290" s="8"/>
      <c r="C290" s="8"/>
      <c r="D290" s="8"/>
      <c r="E290" s="8"/>
      <c r="F290" s="9">
        <f>SUM(F268:F289)</f>
        <v>0</v>
      </c>
      <c r="G290" s="8"/>
      <c r="H290" s="9">
        <f>SUM(H268:H289)</f>
        <v>0</v>
      </c>
      <c r="I290" s="8"/>
      <c r="J290" s="9">
        <f>SUM(J268:J289)</f>
        <v>0</v>
      </c>
      <c r="K290" s="8"/>
      <c r="L290" s="9">
        <f>SUM(L268:L289)</f>
        <v>0</v>
      </c>
      <c r="M290" s="8"/>
      <c r="N290" t="s">
        <v>83</v>
      </c>
    </row>
    <row r="291" spans="1:48" ht="30" customHeight="1">
      <c r="A291" s="7" t="s">
        <v>247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1"/>
      <c r="O291" s="1"/>
      <c r="P291" s="1"/>
      <c r="Q291" s="4" t="s">
        <v>248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ht="30" customHeight="1">
      <c r="A292" s="7" t="s">
        <v>547</v>
      </c>
      <c r="B292" s="7" t="s">
        <v>550</v>
      </c>
      <c r="C292" s="7" t="s">
        <v>58</v>
      </c>
      <c r="D292" s="8">
        <v>40</v>
      </c>
      <c r="E292" s="9"/>
      <c r="F292" s="9"/>
      <c r="G292" s="9"/>
      <c r="H292" s="9"/>
      <c r="I292" s="9"/>
      <c r="J292" s="9"/>
      <c r="K292" s="9"/>
      <c r="L292" s="9"/>
      <c r="M292" s="7"/>
      <c r="N292" s="4" t="s">
        <v>150</v>
      </c>
      <c r="O292" s="4" t="s">
        <v>50</v>
      </c>
      <c r="P292" s="4" t="s">
        <v>50</v>
      </c>
      <c r="Q292" s="4" t="s">
        <v>50</v>
      </c>
      <c r="R292" s="4" t="s">
        <v>60</v>
      </c>
      <c r="S292" s="4" t="s">
        <v>61</v>
      </c>
      <c r="T292" s="4" t="s">
        <v>61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4" t="s">
        <v>50</v>
      </c>
      <c r="AS292" s="4" t="s">
        <v>50</v>
      </c>
      <c r="AT292" s="1"/>
      <c r="AU292" s="4" t="s">
        <v>249</v>
      </c>
      <c r="AV292" s="1">
        <v>5719</v>
      </c>
    </row>
    <row r="293" spans="1:48" ht="30" customHeight="1">
      <c r="A293" s="7" t="s">
        <v>152</v>
      </c>
      <c r="B293" s="7" t="s">
        <v>601</v>
      </c>
      <c r="C293" s="7" t="s">
        <v>140</v>
      </c>
      <c r="D293" s="74">
        <v>10</v>
      </c>
      <c r="E293" s="9"/>
      <c r="F293" s="9"/>
      <c r="G293" s="9"/>
      <c r="H293" s="9"/>
      <c r="I293" s="9"/>
      <c r="J293" s="9"/>
      <c r="K293" s="9"/>
      <c r="L293" s="9"/>
      <c r="M293" s="7"/>
      <c r="N293" s="4"/>
      <c r="O293" s="4"/>
      <c r="P293" s="4"/>
      <c r="Q293" s="4"/>
      <c r="R293" s="4"/>
      <c r="S293" s="4"/>
      <c r="T293" s="4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4"/>
      <c r="AS293" s="4"/>
      <c r="AT293" s="1"/>
      <c r="AU293" s="4"/>
      <c r="AV293" s="1"/>
    </row>
    <row r="294" spans="1:48" ht="30" customHeight="1">
      <c r="A294" s="7" t="s">
        <v>152</v>
      </c>
      <c r="B294" s="7" t="s">
        <v>153</v>
      </c>
      <c r="C294" s="7" t="s">
        <v>140</v>
      </c>
      <c r="D294" s="8">
        <v>44</v>
      </c>
      <c r="E294" s="9"/>
      <c r="F294" s="9"/>
      <c r="G294" s="9"/>
      <c r="H294" s="9"/>
      <c r="I294" s="9"/>
      <c r="J294" s="9"/>
      <c r="K294" s="9"/>
      <c r="L294" s="9"/>
      <c r="M294" s="7"/>
      <c r="N294" s="4" t="s">
        <v>154</v>
      </c>
      <c r="O294" s="4" t="s">
        <v>50</v>
      </c>
      <c r="P294" s="4" t="s">
        <v>50</v>
      </c>
      <c r="Q294" s="4" t="s">
        <v>50</v>
      </c>
      <c r="R294" s="4" t="s">
        <v>61</v>
      </c>
      <c r="S294" s="4" t="s">
        <v>61</v>
      </c>
      <c r="T294" s="4" t="s">
        <v>60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4" t="s">
        <v>50</v>
      </c>
      <c r="AS294" s="4" t="s">
        <v>50</v>
      </c>
      <c r="AT294" s="1"/>
      <c r="AU294" s="4" t="s">
        <v>250</v>
      </c>
      <c r="AV294" s="1">
        <v>5721</v>
      </c>
    </row>
    <row r="295" spans="1:48" ht="30" customHeight="1">
      <c r="A295" s="7" t="s">
        <v>156</v>
      </c>
      <c r="B295" s="7" t="s">
        <v>157</v>
      </c>
      <c r="C295" s="7" t="s">
        <v>158</v>
      </c>
      <c r="D295" s="8">
        <v>78</v>
      </c>
      <c r="E295" s="9"/>
      <c r="F295" s="9"/>
      <c r="G295" s="9"/>
      <c r="H295" s="9"/>
      <c r="I295" s="9"/>
      <c r="J295" s="9"/>
      <c r="K295" s="9"/>
      <c r="L295" s="9"/>
      <c r="M295" s="7"/>
      <c r="N295" s="4" t="s">
        <v>159</v>
      </c>
      <c r="O295" s="4" t="s">
        <v>50</v>
      </c>
      <c r="P295" s="4" t="s">
        <v>50</v>
      </c>
      <c r="Q295" s="4" t="s">
        <v>50</v>
      </c>
      <c r="R295" s="4" t="s">
        <v>61</v>
      </c>
      <c r="S295" s="4" t="s">
        <v>61</v>
      </c>
      <c r="T295" s="4" t="s">
        <v>60</v>
      </c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4" t="s">
        <v>50</v>
      </c>
      <c r="AS295" s="4" t="s">
        <v>50</v>
      </c>
      <c r="AT295" s="1"/>
      <c r="AU295" s="4" t="s">
        <v>251</v>
      </c>
      <c r="AV295" s="1">
        <v>5722</v>
      </c>
    </row>
    <row r="296" spans="1:48" ht="30" customHeight="1">
      <c r="A296" s="7" t="s">
        <v>161</v>
      </c>
      <c r="B296" s="7" t="s">
        <v>162</v>
      </c>
      <c r="C296" s="7" t="s">
        <v>108</v>
      </c>
      <c r="D296" s="8">
        <v>0.08</v>
      </c>
      <c r="E296" s="9"/>
      <c r="F296" s="9"/>
      <c r="G296" s="9"/>
      <c r="H296" s="9"/>
      <c r="I296" s="9"/>
      <c r="J296" s="9"/>
      <c r="K296" s="9"/>
      <c r="L296" s="9"/>
      <c r="M296" s="7"/>
      <c r="N296" s="4" t="s">
        <v>163</v>
      </c>
      <c r="O296" s="4" t="s">
        <v>50</v>
      </c>
      <c r="P296" s="4" t="s">
        <v>50</v>
      </c>
      <c r="Q296" s="4" t="s">
        <v>50</v>
      </c>
      <c r="R296" s="4" t="s">
        <v>60</v>
      </c>
      <c r="S296" s="4" t="s">
        <v>61</v>
      </c>
      <c r="T296" s="4" t="s">
        <v>61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4" t="s">
        <v>50</v>
      </c>
      <c r="AS296" s="4" t="s">
        <v>50</v>
      </c>
      <c r="AT296" s="1"/>
      <c r="AU296" s="4" t="s">
        <v>252</v>
      </c>
      <c r="AV296" s="1">
        <v>5723</v>
      </c>
    </row>
    <row r="297" spans="1:48" ht="30" customHeight="1">
      <c r="A297" s="7" t="s">
        <v>563</v>
      </c>
      <c r="B297" s="7" t="s">
        <v>166</v>
      </c>
      <c r="C297" s="7" t="s">
        <v>158</v>
      </c>
      <c r="D297" s="8">
        <v>71</v>
      </c>
      <c r="E297" s="9"/>
      <c r="F297" s="9"/>
      <c r="G297" s="9"/>
      <c r="H297" s="9"/>
      <c r="I297" s="9"/>
      <c r="J297" s="9"/>
      <c r="K297" s="9"/>
      <c r="L297" s="9"/>
      <c r="M297" s="7"/>
      <c r="N297" s="4" t="s">
        <v>168</v>
      </c>
      <c r="O297" s="4" t="s">
        <v>50</v>
      </c>
      <c r="P297" s="4" t="s">
        <v>50</v>
      </c>
      <c r="Q297" s="4" t="s">
        <v>50</v>
      </c>
      <c r="R297" s="4" t="s">
        <v>60</v>
      </c>
      <c r="S297" s="4" t="s">
        <v>61</v>
      </c>
      <c r="T297" s="4" t="s">
        <v>61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4" t="s">
        <v>50</v>
      </c>
      <c r="AS297" s="4" t="s">
        <v>50</v>
      </c>
      <c r="AT297" s="1"/>
      <c r="AU297" s="4" t="s">
        <v>253</v>
      </c>
      <c r="AV297" s="1">
        <v>5724</v>
      </c>
    </row>
    <row r="298" spans="1:48" ht="30" customHeight="1">
      <c r="A298" s="7" t="s">
        <v>170</v>
      </c>
      <c r="B298" s="7" t="s">
        <v>171</v>
      </c>
      <c r="C298" s="7" t="s">
        <v>140</v>
      </c>
      <c r="D298" s="8">
        <v>1</v>
      </c>
      <c r="E298" s="9"/>
      <c r="F298" s="9"/>
      <c r="G298" s="9"/>
      <c r="H298" s="9"/>
      <c r="I298" s="9"/>
      <c r="J298" s="9"/>
      <c r="K298" s="9"/>
      <c r="L298" s="9"/>
      <c r="M298" s="7"/>
      <c r="N298" s="4" t="s">
        <v>172</v>
      </c>
      <c r="O298" s="4" t="s">
        <v>50</v>
      </c>
      <c r="P298" s="4" t="s">
        <v>50</v>
      </c>
      <c r="Q298" s="4" t="s">
        <v>50</v>
      </c>
      <c r="R298" s="4" t="s">
        <v>60</v>
      </c>
      <c r="S298" s="4" t="s">
        <v>61</v>
      </c>
      <c r="T298" s="4" t="s">
        <v>61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4" t="s">
        <v>50</v>
      </c>
      <c r="AS298" s="4" t="s">
        <v>50</v>
      </c>
      <c r="AT298" s="1"/>
      <c r="AU298" s="4" t="s">
        <v>254</v>
      </c>
      <c r="AV298" s="1">
        <v>5725</v>
      </c>
    </row>
    <row r="299" spans="1:48" ht="30" customHeight="1">
      <c r="A299" s="7" t="s">
        <v>174</v>
      </c>
      <c r="B299" s="7" t="s">
        <v>175</v>
      </c>
      <c r="C299" s="7" t="s">
        <v>176</v>
      </c>
      <c r="D299" s="8">
        <v>2</v>
      </c>
      <c r="E299" s="9"/>
      <c r="F299" s="9"/>
      <c r="G299" s="9"/>
      <c r="H299" s="9"/>
      <c r="I299" s="9"/>
      <c r="J299" s="9"/>
      <c r="K299" s="9"/>
      <c r="L299" s="9"/>
      <c r="M299" s="7"/>
      <c r="N299" s="4" t="s">
        <v>177</v>
      </c>
      <c r="O299" s="4" t="s">
        <v>50</v>
      </c>
      <c r="P299" s="4" t="s">
        <v>50</v>
      </c>
      <c r="Q299" s="4" t="s">
        <v>50</v>
      </c>
      <c r="R299" s="4" t="s">
        <v>60</v>
      </c>
      <c r="S299" s="4" t="s">
        <v>61</v>
      </c>
      <c r="T299" s="4" t="s">
        <v>61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4" t="s">
        <v>50</v>
      </c>
      <c r="AS299" s="4" t="s">
        <v>50</v>
      </c>
      <c r="AT299" s="1"/>
      <c r="AU299" s="4" t="s">
        <v>255</v>
      </c>
      <c r="AV299" s="1">
        <v>5726</v>
      </c>
    </row>
    <row r="300" spans="1:48" ht="30" customHeight="1">
      <c r="A300" s="7"/>
      <c r="B300" s="7"/>
      <c r="C300" s="7"/>
      <c r="D300" s="75"/>
      <c r="E300" s="9"/>
      <c r="F300" s="9"/>
      <c r="G300" s="9"/>
      <c r="H300" s="9"/>
      <c r="I300" s="9"/>
      <c r="J300" s="9"/>
      <c r="K300" s="9"/>
      <c r="L300" s="9"/>
      <c r="M300" s="7"/>
      <c r="N300" s="4"/>
      <c r="O300" s="4"/>
      <c r="P300" s="4"/>
      <c r="Q300" s="4"/>
      <c r="R300" s="4"/>
      <c r="S300" s="4"/>
      <c r="T300" s="4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4"/>
      <c r="AS300" s="4"/>
      <c r="AT300" s="1"/>
      <c r="AU300" s="4"/>
      <c r="AV300" s="1"/>
    </row>
    <row r="301" spans="1:48" ht="30" customHeight="1">
      <c r="A301" s="7"/>
      <c r="B301" s="7"/>
      <c r="C301" s="7"/>
      <c r="D301" s="73"/>
      <c r="E301" s="9"/>
      <c r="F301" s="9"/>
      <c r="G301" s="9"/>
      <c r="H301" s="9"/>
      <c r="I301" s="9"/>
      <c r="J301" s="9"/>
      <c r="K301" s="9"/>
      <c r="L301" s="9"/>
      <c r="M301" s="7"/>
      <c r="N301" s="4"/>
      <c r="O301" s="4"/>
      <c r="P301" s="4"/>
      <c r="Q301" s="4"/>
      <c r="R301" s="4"/>
      <c r="S301" s="4"/>
      <c r="T301" s="4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4"/>
      <c r="AS301" s="4"/>
      <c r="AT301" s="1"/>
      <c r="AU301" s="4"/>
      <c r="AV301" s="1"/>
    </row>
    <row r="302" spans="1:48" ht="3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spans="1:48" ht="3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spans="1:48" ht="3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spans="1:48" ht="3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spans="1:48" ht="3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spans="1:48" ht="3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spans="1:48" ht="3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spans="1:48" ht="3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spans="1:48" ht="3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spans="1:48" ht="3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spans="1:48" ht="3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spans="1:48" ht="3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spans="1:48" ht="30" customHeight="1">
      <c r="A314" s="8" t="s">
        <v>82</v>
      </c>
      <c r="B314" s="8"/>
      <c r="C314" s="8"/>
      <c r="D314" s="8"/>
      <c r="E314" s="8"/>
      <c r="F314" s="9">
        <f>SUM(F292:F313)</f>
        <v>0</v>
      </c>
      <c r="G314" s="8"/>
      <c r="H314" s="9">
        <f>SUM(H292:H313)</f>
        <v>0</v>
      </c>
      <c r="I314" s="8"/>
      <c r="J314" s="9">
        <f>SUM(J292:J313)</f>
        <v>0</v>
      </c>
      <c r="K314" s="8"/>
      <c r="L314" s="9">
        <f>SUM(L292:L313)</f>
        <v>0</v>
      </c>
      <c r="M314" s="8"/>
      <c r="N314" t="s">
        <v>83</v>
      </c>
    </row>
    <row r="315" spans="1:48" ht="30" customHeight="1">
      <c r="A315" s="7" t="s">
        <v>256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1"/>
      <c r="O315" s="1"/>
      <c r="P315" s="1"/>
      <c r="Q315" s="4" t="s">
        <v>257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ht="30" customHeight="1">
      <c r="A316" s="7" t="s">
        <v>181</v>
      </c>
      <c r="B316" s="7" t="s">
        <v>182</v>
      </c>
      <c r="C316" s="7" t="s">
        <v>58</v>
      </c>
      <c r="D316" s="8">
        <v>5</v>
      </c>
      <c r="E316" s="9"/>
      <c r="F316" s="9"/>
      <c r="G316" s="9"/>
      <c r="H316" s="9"/>
      <c r="I316" s="9"/>
      <c r="J316" s="9"/>
      <c r="K316" s="9"/>
      <c r="L316" s="9"/>
      <c r="M316" s="7"/>
      <c r="N316" s="4" t="s">
        <v>183</v>
      </c>
      <c r="O316" s="4" t="s">
        <v>50</v>
      </c>
      <c r="P316" s="4" t="s">
        <v>50</v>
      </c>
      <c r="Q316" s="4" t="s">
        <v>50</v>
      </c>
      <c r="R316" s="4" t="s">
        <v>60</v>
      </c>
      <c r="S316" s="4" t="s">
        <v>61</v>
      </c>
      <c r="T316" s="4" t="s">
        <v>61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4" t="s">
        <v>50</v>
      </c>
      <c r="AS316" s="4" t="s">
        <v>50</v>
      </c>
      <c r="AT316" s="1"/>
      <c r="AU316" s="4" t="s">
        <v>258</v>
      </c>
      <c r="AV316" s="1">
        <v>5728</v>
      </c>
    </row>
    <row r="317" spans="1:48" ht="30" customHeight="1">
      <c r="A317" s="7" t="s">
        <v>185</v>
      </c>
      <c r="B317" s="7" t="s">
        <v>186</v>
      </c>
      <c r="C317" s="7" t="s">
        <v>58</v>
      </c>
      <c r="D317" s="8">
        <v>23</v>
      </c>
      <c r="E317" s="9"/>
      <c r="F317" s="9"/>
      <c r="G317" s="9"/>
      <c r="H317" s="9"/>
      <c r="I317" s="9"/>
      <c r="J317" s="9"/>
      <c r="K317" s="9"/>
      <c r="L317" s="9"/>
      <c r="M317" s="7"/>
      <c r="N317" s="4" t="s">
        <v>187</v>
      </c>
      <c r="O317" s="4" t="s">
        <v>50</v>
      </c>
      <c r="P317" s="4" t="s">
        <v>50</v>
      </c>
      <c r="Q317" s="4" t="s">
        <v>50</v>
      </c>
      <c r="R317" s="4" t="s">
        <v>60</v>
      </c>
      <c r="S317" s="4" t="s">
        <v>61</v>
      </c>
      <c r="T317" s="4" t="s">
        <v>61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4" t="s">
        <v>50</v>
      </c>
      <c r="AS317" s="4" t="s">
        <v>50</v>
      </c>
      <c r="AT317" s="1"/>
      <c r="AU317" s="4" t="s">
        <v>259</v>
      </c>
      <c r="AV317" s="1">
        <v>5729</v>
      </c>
    </row>
    <row r="318" spans="1:48" ht="30" customHeight="1">
      <c r="A318" s="7" t="s">
        <v>185</v>
      </c>
      <c r="B318" s="7" t="s">
        <v>189</v>
      </c>
      <c r="C318" s="7" t="s">
        <v>58</v>
      </c>
      <c r="D318" s="8">
        <v>98</v>
      </c>
      <c r="E318" s="9"/>
      <c r="F318" s="9"/>
      <c r="G318" s="9"/>
      <c r="H318" s="9"/>
      <c r="I318" s="9"/>
      <c r="J318" s="9"/>
      <c r="K318" s="9"/>
      <c r="L318" s="9"/>
      <c r="M318" s="7"/>
      <c r="N318" s="4" t="s">
        <v>190</v>
      </c>
      <c r="O318" s="4" t="s">
        <v>50</v>
      </c>
      <c r="P318" s="4" t="s">
        <v>50</v>
      </c>
      <c r="Q318" s="4" t="s">
        <v>50</v>
      </c>
      <c r="R318" s="4" t="s">
        <v>60</v>
      </c>
      <c r="S318" s="4" t="s">
        <v>61</v>
      </c>
      <c r="T318" s="4" t="s">
        <v>61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4" t="s">
        <v>50</v>
      </c>
      <c r="AS318" s="4" t="s">
        <v>50</v>
      </c>
      <c r="AT318" s="1"/>
      <c r="AU318" s="4" t="s">
        <v>260</v>
      </c>
      <c r="AV318" s="1">
        <v>5730</v>
      </c>
    </row>
    <row r="319" spans="1:48" ht="3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spans="1:48" ht="3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spans="1:13" ht="3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spans="1:13" ht="3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spans="1:13" ht="3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spans="1:13" ht="3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spans="1:13" ht="3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spans="1:13" ht="3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spans="1:13" ht="3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spans="1:13" ht="3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spans="1:13" ht="3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spans="1:13" ht="3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spans="1:13" ht="3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spans="1:13" ht="3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spans="1:13" ht="3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spans="1:13" ht="3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spans="1:13" ht="3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spans="1:13" ht="3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spans="1:48" ht="3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spans="1:48" ht="30" customHeight="1">
      <c r="A338" s="8" t="s">
        <v>82</v>
      </c>
      <c r="B338" s="8"/>
      <c r="C338" s="8"/>
      <c r="D338" s="8"/>
      <c r="E338" s="8"/>
      <c r="F338" s="9">
        <f>SUM(F316:F337)</f>
        <v>0</v>
      </c>
      <c r="G338" s="8"/>
      <c r="H338" s="9">
        <f>SUM(H316:H337)</f>
        <v>0</v>
      </c>
      <c r="I338" s="8"/>
      <c r="J338" s="9">
        <f>SUM(J316:J337)</f>
        <v>0</v>
      </c>
      <c r="K338" s="8"/>
      <c r="L338" s="9">
        <f>SUM(L316:L337)</f>
        <v>0</v>
      </c>
      <c r="M338" s="8"/>
      <c r="N338" t="s">
        <v>83</v>
      </c>
    </row>
    <row r="339" spans="1:48" ht="30" customHeight="1">
      <c r="A339" s="7" t="s">
        <v>261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1"/>
      <c r="O339" s="1"/>
      <c r="P339" s="1"/>
      <c r="Q339" s="4" t="s">
        <v>262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ht="30" customHeight="1">
      <c r="A340" s="7" t="s">
        <v>194</v>
      </c>
      <c r="B340" s="7" t="s">
        <v>99</v>
      </c>
      <c r="C340" s="7" t="s">
        <v>69</v>
      </c>
      <c r="D340" s="8">
        <v>1</v>
      </c>
      <c r="E340" s="9"/>
      <c r="F340" s="9"/>
      <c r="G340" s="9"/>
      <c r="H340" s="9"/>
      <c r="I340" s="9"/>
      <c r="J340" s="9"/>
      <c r="K340" s="9"/>
      <c r="L340" s="9"/>
      <c r="M340" s="7"/>
      <c r="N340" s="4" t="s">
        <v>195</v>
      </c>
      <c r="O340" s="4" t="s">
        <v>50</v>
      </c>
      <c r="P340" s="4" t="s">
        <v>50</v>
      </c>
      <c r="Q340" s="4" t="s">
        <v>50</v>
      </c>
      <c r="R340" s="4" t="s">
        <v>60</v>
      </c>
      <c r="S340" s="4" t="s">
        <v>61</v>
      </c>
      <c r="T340" s="4" t="s">
        <v>61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4" t="s">
        <v>50</v>
      </c>
      <c r="AS340" s="4" t="s">
        <v>50</v>
      </c>
      <c r="AT340" s="1"/>
      <c r="AU340" s="4" t="s">
        <v>263</v>
      </c>
      <c r="AV340" s="1">
        <v>5732</v>
      </c>
    </row>
    <row r="341" spans="1:48" ht="3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spans="1:48" ht="3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spans="1:48" ht="3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spans="1:48" ht="3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spans="1:48" ht="3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spans="1:48" ht="3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spans="1:48" ht="3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spans="1:48" ht="3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spans="1:48" ht="3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spans="1:48" ht="3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spans="1:48" ht="3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spans="1:48" ht="3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spans="1:48" ht="3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spans="1:48" ht="3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spans="1:48" ht="3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spans="1:48" ht="3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spans="1:48" ht="3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spans="1:48" ht="3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spans="1:48" ht="3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spans="1:48" ht="3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spans="1:48" ht="3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spans="1:48" ht="30" customHeight="1">
      <c r="A362" s="8" t="s">
        <v>82</v>
      </c>
      <c r="B362" s="8"/>
      <c r="C362" s="8"/>
      <c r="D362" s="8"/>
      <c r="E362" s="8"/>
      <c r="F362" s="9">
        <f>SUM(F340:F361)</f>
        <v>0</v>
      </c>
      <c r="G362" s="8"/>
      <c r="H362" s="9">
        <f>SUM(H340:H361)</f>
        <v>0</v>
      </c>
      <c r="I362" s="8"/>
      <c r="J362" s="9">
        <f>SUM(J340:J361)</f>
        <v>0</v>
      </c>
      <c r="K362" s="8"/>
      <c r="L362" s="9">
        <f>SUM(L340:L361)</f>
        <v>0</v>
      </c>
      <c r="M362" s="8"/>
      <c r="N362" t="s">
        <v>83</v>
      </c>
    </row>
    <row r="363" spans="1:48" ht="30" customHeight="1">
      <c r="A363" s="7" t="s">
        <v>264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1"/>
      <c r="O363" s="1"/>
      <c r="P363" s="1"/>
      <c r="Q363" s="4" t="s">
        <v>265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ht="30" customHeight="1">
      <c r="A364" s="7" t="s">
        <v>199</v>
      </c>
      <c r="B364" s="7" t="s">
        <v>200</v>
      </c>
      <c r="C364" s="7" t="s">
        <v>58</v>
      </c>
      <c r="D364" s="8">
        <v>12</v>
      </c>
      <c r="E364" s="9"/>
      <c r="F364" s="9"/>
      <c r="G364" s="9"/>
      <c r="H364" s="9"/>
      <c r="I364" s="9"/>
      <c r="J364" s="9"/>
      <c r="K364" s="9"/>
      <c r="L364" s="9"/>
      <c r="M364" s="7" t="s">
        <v>50</v>
      </c>
      <c r="N364" s="4" t="s">
        <v>201</v>
      </c>
      <c r="O364" s="4" t="s">
        <v>50</v>
      </c>
      <c r="P364" s="4" t="s">
        <v>50</v>
      </c>
      <c r="Q364" s="4" t="s">
        <v>50</v>
      </c>
      <c r="R364" s="4" t="s">
        <v>61</v>
      </c>
      <c r="S364" s="4" t="s">
        <v>61</v>
      </c>
      <c r="T364" s="4" t="s">
        <v>60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4" t="s">
        <v>50</v>
      </c>
      <c r="AS364" s="4" t="s">
        <v>50</v>
      </c>
      <c r="AT364" s="1"/>
      <c r="AU364" s="4" t="s">
        <v>266</v>
      </c>
      <c r="AV364" s="1">
        <v>5734</v>
      </c>
    </row>
    <row r="365" spans="1:48" ht="3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 spans="1:48" ht="3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spans="1:48" ht="3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spans="1:48" ht="3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spans="1:13" ht="3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 spans="1:13" ht="3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spans="1:13" ht="3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spans="1:13" ht="3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 spans="1:13" ht="3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spans="1:13" ht="3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 spans="1:13" ht="3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spans="1:13" ht="3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spans="1:13" ht="3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 spans="1:13" ht="3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 spans="1:13" ht="3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spans="1:13" ht="3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 spans="1:13" ht="3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 spans="1:13" ht="3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 spans="1:13" ht="3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spans="1:13" ht="3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spans="1:48" ht="3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 spans="1:48" ht="30" customHeight="1">
      <c r="A386" s="8" t="s">
        <v>82</v>
      </c>
      <c r="B386" s="8"/>
      <c r="C386" s="8"/>
      <c r="D386" s="8"/>
      <c r="E386" s="8"/>
      <c r="F386" s="9">
        <f>SUM(F364:F385)</f>
        <v>0</v>
      </c>
      <c r="G386" s="8"/>
      <c r="H386" s="9">
        <f>SUM(H364:H385)</f>
        <v>0</v>
      </c>
      <c r="I386" s="8"/>
      <c r="J386" s="9">
        <f>SUM(J364:J385)</f>
        <v>0</v>
      </c>
      <c r="K386" s="8"/>
      <c r="L386" s="9">
        <f>SUM(L364:L385)</f>
        <v>0</v>
      </c>
      <c r="M386" s="8"/>
      <c r="N386" t="s">
        <v>83</v>
      </c>
    </row>
    <row r="387" spans="1:48" ht="30" customHeight="1">
      <c r="A387" s="7" t="s">
        <v>267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1"/>
      <c r="O387" s="1"/>
      <c r="P387" s="1"/>
      <c r="Q387" s="4" t="s">
        <v>268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ht="30" customHeight="1">
      <c r="A388" s="7" t="s">
        <v>205</v>
      </c>
      <c r="B388" s="7" t="s">
        <v>593</v>
      </c>
      <c r="C388" s="7" t="s">
        <v>206</v>
      </c>
      <c r="D388" s="8">
        <v>2</v>
      </c>
      <c r="E388" s="9"/>
      <c r="F388" s="9"/>
      <c r="G388" s="9"/>
      <c r="H388" s="9"/>
      <c r="I388" s="9"/>
      <c r="J388" s="9"/>
      <c r="K388" s="9"/>
      <c r="L388" s="9"/>
      <c r="M388" s="7" t="s">
        <v>50</v>
      </c>
      <c r="N388" s="4" t="s">
        <v>207</v>
      </c>
      <c r="O388" s="4" t="s">
        <v>50</v>
      </c>
      <c r="P388" s="4" t="s">
        <v>50</v>
      </c>
      <c r="Q388" s="4" t="s">
        <v>50</v>
      </c>
      <c r="R388" s="4" t="s">
        <v>61</v>
      </c>
      <c r="S388" s="4" t="s">
        <v>61</v>
      </c>
      <c r="T388" s="4" t="s">
        <v>60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4" t="s">
        <v>50</v>
      </c>
      <c r="AS388" s="4" t="s">
        <v>50</v>
      </c>
      <c r="AT388" s="1"/>
      <c r="AU388" s="4" t="s">
        <v>269</v>
      </c>
      <c r="AV388" s="1">
        <v>5736</v>
      </c>
    </row>
    <row r="389" spans="1:48" ht="30" customHeight="1">
      <c r="A389" s="7" t="s">
        <v>209</v>
      </c>
      <c r="B389" s="7" t="s">
        <v>50</v>
      </c>
      <c r="C389" s="7" t="s">
        <v>210</v>
      </c>
      <c r="D389" s="8">
        <v>2</v>
      </c>
      <c r="E389" s="9"/>
      <c r="F389" s="9"/>
      <c r="G389" s="9"/>
      <c r="H389" s="9"/>
      <c r="I389" s="9"/>
      <c r="J389" s="9"/>
      <c r="K389" s="9"/>
      <c r="L389" s="9"/>
      <c r="M389" s="7" t="s">
        <v>50</v>
      </c>
      <c r="N389" s="4" t="s">
        <v>211</v>
      </c>
      <c r="O389" s="4" t="s">
        <v>50</v>
      </c>
      <c r="P389" s="4" t="s">
        <v>50</v>
      </c>
      <c r="Q389" s="4" t="s">
        <v>50</v>
      </c>
      <c r="R389" s="4" t="s">
        <v>61</v>
      </c>
      <c r="S389" s="4" t="s">
        <v>61</v>
      </c>
      <c r="T389" s="4" t="s">
        <v>60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4" t="s">
        <v>50</v>
      </c>
      <c r="AS389" s="4" t="s">
        <v>50</v>
      </c>
      <c r="AT389" s="1"/>
      <c r="AU389" s="4" t="s">
        <v>270</v>
      </c>
      <c r="AV389" s="1">
        <v>5738</v>
      </c>
    </row>
    <row r="390" spans="1:48" ht="30" customHeight="1">
      <c r="A390" s="7" t="s">
        <v>590</v>
      </c>
      <c r="B390" s="7" t="s">
        <v>50</v>
      </c>
      <c r="C390" s="7" t="s">
        <v>140</v>
      </c>
      <c r="D390" s="73">
        <v>20</v>
      </c>
      <c r="E390" s="9"/>
      <c r="F390" s="9"/>
      <c r="G390" s="9"/>
      <c r="H390" s="9"/>
      <c r="I390" s="9"/>
      <c r="J390" s="9"/>
      <c r="K390" s="9"/>
      <c r="L390" s="9"/>
      <c r="M390" s="7"/>
      <c r="N390" s="4"/>
      <c r="O390" s="4"/>
      <c r="P390" s="4"/>
      <c r="Q390" s="4"/>
      <c r="R390" s="4"/>
      <c r="S390" s="4"/>
      <c r="T390" s="4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4"/>
      <c r="AS390" s="4"/>
      <c r="AT390" s="1"/>
      <c r="AU390" s="4"/>
      <c r="AV390" s="1"/>
    </row>
    <row r="391" spans="1:48" ht="3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spans="1:48" ht="3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spans="1:48" ht="3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spans="1:48" ht="3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spans="1:48" ht="3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spans="1:48" ht="3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spans="1:48" ht="3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 spans="1:48" ht="3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spans="1:48" ht="3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 spans="1:48" ht="3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 spans="1:48" ht="3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spans="1:48" ht="3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spans="1:48" ht="3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 spans="1:48" ht="3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 spans="1:48" ht="3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 spans="1:48" ht="3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 spans="1:48" ht="3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 spans="1:48" ht="3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spans="1:48" ht="3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spans="1:48" ht="30" customHeight="1">
      <c r="A410" s="8" t="s">
        <v>82</v>
      </c>
      <c r="B410" s="8"/>
      <c r="C410" s="8"/>
      <c r="D410" s="8"/>
      <c r="E410" s="8"/>
      <c r="F410" s="9">
        <f>SUM(F388:F409)</f>
        <v>0</v>
      </c>
      <c r="G410" s="8"/>
      <c r="H410" s="9">
        <f>SUM(H388:H409)</f>
        <v>0</v>
      </c>
      <c r="I410" s="8"/>
      <c r="J410" s="9">
        <f>SUM(J388:J409)</f>
        <v>0</v>
      </c>
      <c r="K410" s="8"/>
      <c r="L410" s="9">
        <f>SUM(L388:L409)</f>
        <v>0</v>
      </c>
      <c r="M410" s="8"/>
      <c r="N410" t="s">
        <v>83</v>
      </c>
    </row>
    <row r="411" spans="1:48" ht="30" customHeight="1">
      <c r="A411" s="7" t="s">
        <v>271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1"/>
      <c r="O411" s="1"/>
      <c r="P411" s="1"/>
      <c r="Q411" s="4" t="s">
        <v>272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ht="30" customHeight="1">
      <c r="A412" s="7" t="s">
        <v>215</v>
      </c>
      <c r="B412" s="7" t="s">
        <v>216</v>
      </c>
      <c r="C412" s="7" t="s">
        <v>167</v>
      </c>
      <c r="D412" s="8">
        <v>4</v>
      </c>
      <c r="E412" s="9"/>
      <c r="F412" s="9"/>
      <c r="G412" s="9"/>
      <c r="H412" s="9"/>
      <c r="I412" s="9"/>
      <c r="J412" s="9"/>
      <c r="K412" s="9"/>
      <c r="L412" s="9"/>
      <c r="M412" s="7" t="s">
        <v>217</v>
      </c>
      <c r="N412" s="4" t="s">
        <v>218</v>
      </c>
      <c r="O412" s="4" t="s">
        <v>50</v>
      </c>
      <c r="P412" s="4" t="s">
        <v>50</v>
      </c>
      <c r="Q412" s="4" t="s">
        <v>50</v>
      </c>
      <c r="R412" s="4" t="s">
        <v>61</v>
      </c>
      <c r="S412" s="4" t="s">
        <v>61</v>
      </c>
      <c r="T412" s="4" t="s">
        <v>60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4" t="s">
        <v>50</v>
      </c>
      <c r="AS412" s="4" t="s">
        <v>50</v>
      </c>
      <c r="AT412" s="1"/>
      <c r="AU412" s="4" t="s">
        <v>273</v>
      </c>
      <c r="AV412" s="1">
        <v>5742</v>
      </c>
    </row>
    <row r="413" spans="1:48" ht="3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 spans="1:48" ht="3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 spans="1:48" ht="3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 spans="1:48" ht="3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 spans="1:13" ht="3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 spans="1:13" ht="3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 spans="1:13" ht="3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 spans="1:13" ht="3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 spans="1:13" ht="3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spans="1:13" ht="3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 spans="1:13" ht="3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 spans="1:13" ht="3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 spans="1:13" ht="3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spans="1:13" ht="3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 spans="1:13" ht="3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 spans="1:13" ht="3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spans="1:13" ht="3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 spans="1:13" ht="3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spans="1:13" ht="3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 spans="1:13" ht="3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 spans="1:48" ht="3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 spans="1:48" ht="30" customHeight="1">
      <c r="A434" s="8" t="s">
        <v>82</v>
      </c>
      <c r="B434" s="8"/>
      <c r="C434" s="8"/>
      <c r="D434" s="8"/>
      <c r="E434" s="8"/>
      <c r="F434" s="9">
        <f>SUM(F412:F433)</f>
        <v>0</v>
      </c>
      <c r="G434" s="8"/>
      <c r="H434" s="9">
        <f>SUM(H412:H433)</f>
        <v>0</v>
      </c>
      <c r="I434" s="8"/>
      <c r="J434" s="9">
        <f>SUM(J412:J433)</f>
        <v>0</v>
      </c>
      <c r="K434" s="8"/>
      <c r="L434" s="9">
        <f>SUM(L412:L433)</f>
        <v>0</v>
      </c>
      <c r="M434" s="8"/>
      <c r="N434" t="s">
        <v>83</v>
      </c>
    </row>
    <row r="435" spans="1:48" ht="30" customHeight="1">
      <c r="A435" s="71" t="s">
        <v>566</v>
      </c>
      <c r="B435" s="72"/>
      <c r="C435" s="72"/>
      <c r="D435" s="72"/>
      <c r="E435" s="72"/>
      <c r="F435" s="9"/>
      <c r="G435" s="72"/>
      <c r="H435" s="9"/>
      <c r="I435" s="72"/>
      <c r="J435" s="9"/>
      <c r="K435" s="72"/>
      <c r="L435" s="9"/>
      <c r="M435" s="72"/>
    </row>
    <row r="436" spans="1:48" ht="30" customHeight="1">
      <c r="A436" s="7" t="s">
        <v>567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1"/>
      <c r="O436" s="1"/>
      <c r="P436" s="1"/>
      <c r="Q436" s="4" t="s">
        <v>277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ht="30" customHeight="1">
      <c r="A437" s="7" t="s">
        <v>543</v>
      </c>
      <c r="B437" s="7" t="s">
        <v>57</v>
      </c>
      <c r="C437" s="7" t="s">
        <v>58</v>
      </c>
      <c r="D437" s="8">
        <v>132</v>
      </c>
      <c r="E437" s="9"/>
      <c r="F437" s="9"/>
      <c r="G437" s="9"/>
      <c r="H437" s="9"/>
      <c r="I437" s="9"/>
      <c r="J437" s="9"/>
      <c r="K437" s="9"/>
      <c r="L437" s="9"/>
      <c r="M437" s="7"/>
      <c r="N437" s="4" t="s">
        <v>59</v>
      </c>
      <c r="O437" s="4" t="s">
        <v>50</v>
      </c>
      <c r="P437" s="4" t="s">
        <v>50</v>
      </c>
      <c r="Q437" s="4" t="s">
        <v>50</v>
      </c>
      <c r="R437" s="4" t="s">
        <v>60</v>
      </c>
      <c r="S437" s="4" t="s">
        <v>61</v>
      </c>
      <c r="T437" s="4" t="s">
        <v>61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4" t="s">
        <v>50</v>
      </c>
      <c r="AS437" s="4" t="s">
        <v>50</v>
      </c>
      <c r="AT437" s="1"/>
      <c r="AU437" s="4" t="s">
        <v>278</v>
      </c>
      <c r="AV437" s="1">
        <v>4925</v>
      </c>
    </row>
    <row r="438" spans="1:48" ht="30" customHeight="1">
      <c r="A438" s="7" t="s">
        <v>556</v>
      </c>
      <c r="B438" s="7" t="s">
        <v>63</v>
      </c>
      <c r="C438" s="7" t="s">
        <v>58</v>
      </c>
      <c r="D438" s="8">
        <v>132</v>
      </c>
      <c r="E438" s="9"/>
      <c r="F438" s="9"/>
      <c r="G438" s="9"/>
      <c r="H438" s="9"/>
      <c r="I438" s="9"/>
      <c r="J438" s="9"/>
      <c r="K438" s="9"/>
      <c r="L438" s="9"/>
      <c r="M438" s="7"/>
      <c r="N438" s="4" t="s">
        <v>64</v>
      </c>
      <c r="O438" s="4" t="s">
        <v>50</v>
      </c>
      <c r="P438" s="4" t="s">
        <v>50</v>
      </c>
      <c r="Q438" s="4" t="s">
        <v>50</v>
      </c>
      <c r="R438" s="4" t="s">
        <v>60</v>
      </c>
      <c r="S438" s="4" t="s">
        <v>61</v>
      </c>
      <c r="T438" s="4" t="s">
        <v>61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4" t="s">
        <v>50</v>
      </c>
      <c r="AS438" s="4" t="s">
        <v>50</v>
      </c>
      <c r="AT438" s="1"/>
      <c r="AU438" s="4" t="s">
        <v>279</v>
      </c>
      <c r="AV438" s="1">
        <v>4926</v>
      </c>
    </row>
    <row r="439" spans="1:48" ht="30" customHeight="1">
      <c r="A439" s="7" t="s">
        <v>557</v>
      </c>
      <c r="B439" s="7" t="s">
        <v>63</v>
      </c>
      <c r="C439" s="7" t="s">
        <v>58</v>
      </c>
      <c r="D439" s="8">
        <v>132</v>
      </c>
      <c r="E439" s="9"/>
      <c r="F439" s="9"/>
      <c r="G439" s="9"/>
      <c r="H439" s="9"/>
      <c r="I439" s="9"/>
      <c r="J439" s="9"/>
      <c r="K439" s="9"/>
      <c r="L439" s="9"/>
      <c r="M439" s="7"/>
      <c r="N439" s="4" t="s">
        <v>66</v>
      </c>
      <c r="O439" s="4" t="s">
        <v>50</v>
      </c>
      <c r="P439" s="4" t="s">
        <v>50</v>
      </c>
      <c r="Q439" s="4" t="s">
        <v>50</v>
      </c>
      <c r="R439" s="4" t="s">
        <v>60</v>
      </c>
      <c r="S439" s="4" t="s">
        <v>61</v>
      </c>
      <c r="T439" s="4" t="s">
        <v>61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4" t="s">
        <v>50</v>
      </c>
      <c r="AS439" s="4" t="s">
        <v>50</v>
      </c>
      <c r="AT439" s="1"/>
      <c r="AU439" s="4" t="s">
        <v>280</v>
      </c>
      <c r="AV439" s="1">
        <v>4927</v>
      </c>
    </row>
    <row r="440" spans="1:48" ht="30" customHeight="1">
      <c r="A440" s="7" t="s">
        <v>558</v>
      </c>
      <c r="B440" s="7" t="s">
        <v>281</v>
      </c>
      <c r="C440" s="7" t="s">
        <v>69</v>
      </c>
      <c r="D440" s="8">
        <v>1</v>
      </c>
      <c r="E440" s="9"/>
      <c r="F440" s="9"/>
      <c r="G440" s="9"/>
      <c r="H440" s="9"/>
      <c r="I440" s="9"/>
      <c r="J440" s="9"/>
      <c r="K440" s="9"/>
      <c r="L440" s="9"/>
      <c r="M440" s="7"/>
      <c r="N440" s="4" t="s">
        <v>282</v>
      </c>
      <c r="O440" s="4" t="s">
        <v>50</v>
      </c>
      <c r="P440" s="4" t="s">
        <v>50</v>
      </c>
      <c r="Q440" s="4" t="s">
        <v>50</v>
      </c>
      <c r="R440" s="4" t="s">
        <v>60</v>
      </c>
      <c r="S440" s="4" t="s">
        <v>61</v>
      </c>
      <c r="T440" s="4" t="s">
        <v>61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4" t="s">
        <v>50</v>
      </c>
      <c r="AS440" s="4" t="s">
        <v>50</v>
      </c>
      <c r="AT440" s="1"/>
      <c r="AU440" s="4" t="s">
        <v>283</v>
      </c>
      <c r="AV440" s="1">
        <v>5670</v>
      </c>
    </row>
    <row r="441" spans="1:48" ht="30" customHeight="1">
      <c r="A441" s="7" t="s">
        <v>589</v>
      </c>
      <c r="B441" s="7" t="s">
        <v>591</v>
      </c>
      <c r="C441" s="7" t="s">
        <v>69</v>
      </c>
      <c r="D441" s="73">
        <v>1</v>
      </c>
      <c r="E441" s="9"/>
      <c r="F441" s="9"/>
      <c r="G441" s="9"/>
      <c r="H441" s="9"/>
      <c r="I441" s="9"/>
      <c r="J441" s="9"/>
      <c r="K441" s="9"/>
      <c r="L441" s="9"/>
      <c r="M441" s="7"/>
      <c r="N441" s="4"/>
      <c r="O441" s="4"/>
      <c r="P441" s="4"/>
      <c r="Q441" s="4"/>
      <c r="R441" s="4"/>
      <c r="S441" s="4"/>
      <c r="T441" s="4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4"/>
      <c r="AS441" s="4"/>
      <c r="AT441" s="1"/>
      <c r="AU441" s="4"/>
      <c r="AV441" s="1"/>
    </row>
    <row r="442" spans="1:48" ht="30" customHeight="1">
      <c r="A442" s="7" t="s">
        <v>544</v>
      </c>
      <c r="B442" s="7" t="s">
        <v>72</v>
      </c>
      <c r="C442" s="7" t="s">
        <v>73</v>
      </c>
      <c r="D442" s="8">
        <v>2</v>
      </c>
      <c r="E442" s="9"/>
      <c r="F442" s="9"/>
      <c r="G442" s="9"/>
      <c r="H442" s="9"/>
      <c r="I442" s="9"/>
      <c r="J442" s="9"/>
      <c r="K442" s="9"/>
      <c r="L442" s="9"/>
      <c r="M442" s="7"/>
      <c r="N442" s="4" t="s">
        <v>74</v>
      </c>
      <c r="O442" s="4" t="s">
        <v>50</v>
      </c>
      <c r="P442" s="4" t="s">
        <v>50</v>
      </c>
      <c r="Q442" s="4" t="s">
        <v>50</v>
      </c>
      <c r="R442" s="4" t="s">
        <v>60</v>
      </c>
      <c r="S442" s="4" t="s">
        <v>61</v>
      </c>
      <c r="T442" s="4" t="s">
        <v>61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4" t="s">
        <v>50</v>
      </c>
      <c r="AS442" s="4" t="s">
        <v>50</v>
      </c>
      <c r="AT442" s="1"/>
      <c r="AU442" s="4" t="s">
        <v>284</v>
      </c>
      <c r="AV442" s="1">
        <v>4929</v>
      </c>
    </row>
    <row r="443" spans="1:48" ht="30" customHeight="1">
      <c r="A443" s="7" t="s">
        <v>545</v>
      </c>
      <c r="B443" s="7" t="s">
        <v>76</v>
      </c>
      <c r="C443" s="7" t="s">
        <v>58</v>
      </c>
      <c r="D443" s="8">
        <v>163</v>
      </c>
      <c r="E443" s="9"/>
      <c r="F443" s="9"/>
      <c r="G443" s="9"/>
      <c r="H443" s="9"/>
      <c r="I443" s="9"/>
      <c r="J443" s="9"/>
      <c r="K443" s="9"/>
      <c r="L443" s="9"/>
      <c r="M443" s="7"/>
      <c r="N443" s="4" t="s">
        <v>77</v>
      </c>
      <c r="O443" s="4" t="s">
        <v>50</v>
      </c>
      <c r="P443" s="4" t="s">
        <v>50</v>
      </c>
      <c r="Q443" s="4" t="s">
        <v>50</v>
      </c>
      <c r="R443" s="4" t="s">
        <v>60</v>
      </c>
      <c r="S443" s="4" t="s">
        <v>61</v>
      </c>
      <c r="T443" s="4" t="s">
        <v>61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4" t="s">
        <v>50</v>
      </c>
      <c r="AS443" s="4" t="s">
        <v>50</v>
      </c>
      <c r="AT443" s="1"/>
      <c r="AU443" s="4" t="s">
        <v>285</v>
      </c>
      <c r="AV443" s="1">
        <v>4930</v>
      </c>
    </row>
    <row r="444" spans="1:48" ht="3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spans="1:48" ht="30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</row>
    <row r="446" spans="1:48" ht="30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</row>
    <row r="447" spans="1:48" ht="3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 spans="1:48" ht="3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 spans="1:48" ht="3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 spans="1:48" ht="3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 spans="1:48" ht="3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 spans="1:48" ht="3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 spans="1:48" ht="3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 spans="1:48" ht="3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spans="1:48" ht="3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 spans="1:48" ht="3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spans="1:48" ht="3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 spans="1:48" ht="30" customHeight="1">
      <c r="A458" s="8" t="s">
        <v>82</v>
      </c>
      <c r="B458" s="8"/>
      <c r="C458" s="8"/>
      <c r="D458" s="8"/>
      <c r="E458" s="8"/>
      <c r="F458" s="9">
        <f>SUM(F437:F457)</f>
        <v>0</v>
      </c>
      <c r="G458" s="8"/>
      <c r="H458" s="9">
        <f>SUM(H437:H457)</f>
        <v>0</v>
      </c>
      <c r="I458" s="8"/>
      <c r="J458" s="9">
        <f>SUM(J437:J457)</f>
        <v>0</v>
      </c>
      <c r="K458" s="8"/>
      <c r="L458" s="9">
        <f>SUM(L437:L457)</f>
        <v>0</v>
      </c>
      <c r="M458" s="8"/>
      <c r="N458" t="s">
        <v>83</v>
      </c>
    </row>
    <row r="459" spans="1:48" ht="30" customHeight="1">
      <c r="A459" s="7" t="s">
        <v>568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1"/>
      <c r="O459" s="1"/>
      <c r="P459" s="1"/>
      <c r="Q459" s="4" t="s">
        <v>287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ht="30" customHeight="1">
      <c r="A460" s="7" t="s">
        <v>569</v>
      </c>
      <c r="B460" s="7" t="s">
        <v>86</v>
      </c>
      <c r="C460" s="7" t="s">
        <v>58</v>
      </c>
      <c r="D460" s="8">
        <v>21</v>
      </c>
      <c r="E460" s="9"/>
      <c r="F460" s="9"/>
      <c r="G460" s="9"/>
      <c r="H460" s="9"/>
      <c r="I460" s="9"/>
      <c r="J460" s="9"/>
      <c r="K460" s="9"/>
      <c r="L460" s="9"/>
      <c r="M460" s="7"/>
      <c r="N460" s="4" t="s">
        <v>288</v>
      </c>
      <c r="O460" s="4" t="s">
        <v>50</v>
      </c>
      <c r="P460" s="4" t="s">
        <v>50</v>
      </c>
      <c r="Q460" s="4" t="s">
        <v>50</v>
      </c>
      <c r="R460" s="4" t="s">
        <v>60</v>
      </c>
      <c r="S460" s="4" t="s">
        <v>61</v>
      </c>
      <c r="T460" s="4" t="s">
        <v>61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4" t="s">
        <v>50</v>
      </c>
      <c r="AS460" s="4" t="s">
        <v>50</v>
      </c>
      <c r="AT460" s="1"/>
      <c r="AU460" s="4" t="s">
        <v>289</v>
      </c>
      <c r="AV460" s="1">
        <v>5075</v>
      </c>
    </row>
    <row r="461" spans="1:48" ht="30" customHeight="1">
      <c r="A461" s="7" t="s">
        <v>570</v>
      </c>
      <c r="B461" s="7" t="s">
        <v>86</v>
      </c>
      <c r="C461" s="7" t="s">
        <v>58</v>
      </c>
      <c r="D461" s="8">
        <v>54</v>
      </c>
      <c r="E461" s="9"/>
      <c r="F461" s="9"/>
      <c r="G461" s="9"/>
      <c r="H461" s="9"/>
      <c r="I461" s="9"/>
      <c r="J461" s="9"/>
      <c r="K461" s="9"/>
      <c r="L461" s="9"/>
      <c r="M461" s="7"/>
      <c r="N461" s="4" t="s">
        <v>290</v>
      </c>
      <c r="O461" s="4" t="s">
        <v>50</v>
      </c>
      <c r="P461" s="4" t="s">
        <v>50</v>
      </c>
      <c r="Q461" s="4" t="s">
        <v>50</v>
      </c>
      <c r="R461" s="4" t="s">
        <v>60</v>
      </c>
      <c r="S461" s="4" t="s">
        <v>61</v>
      </c>
      <c r="T461" s="4" t="s">
        <v>61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4" t="s">
        <v>50</v>
      </c>
      <c r="AS461" s="4" t="s">
        <v>50</v>
      </c>
      <c r="AT461" s="1"/>
      <c r="AU461" s="4" t="s">
        <v>291</v>
      </c>
      <c r="AV461" s="1">
        <v>5671</v>
      </c>
    </row>
    <row r="462" spans="1:48" ht="30" customHeight="1">
      <c r="A462" s="7" t="s">
        <v>560</v>
      </c>
      <c r="B462" s="7" t="s">
        <v>89</v>
      </c>
      <c r="C462" s="7" t="s">
        <v>58</v>
      </c>
      <c r="D462" s="8">
        <v>54</v>
      </c>
      <c r="E462" s="9"/>
      <c r="F462" s="9"/>
      <c r="G462" s="9"/>
      <c r="H462" s="9"/>
      <c r="I462" s="9"/>
      <c r="J462" s="9"/>
      <c r="K462" s="9"/>
      <c r="L462" s="9"/>
      <c r="M462" s="7"/>
      <c r="N462" s="4" t="s">
        <v>90</v>
      </c>
      <c r="O462" s="4" t="s">
        <v>50</v>
      </c>
      <c r="P462" s="4" t="s">
        <v>50</v>
      </c>
      <c r="Q462" s="4" t="s">
        <v>50</v>
      </c>
      <c r="R462" s="4" t="s">
        <v>60</v>
      </c>
      <c r="S462" s="4" t="s">
        <v>61</v>
      </c>
      <c r="T462" s="4" t="s">
        <v>61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4" t="s">
        <v>50</v>
      </c>
      <c r="AS462" s="4" t="s">
        <v>50</v>
      </c>
      <c r="AT462" s="1"/>
      <c r="AU462" s="4" t="s">
        <v>292</v>
      </c>
      <c r="AV462" s="1">
        <v>5077</v>
      </c>
    </row>
    <row r="463" spans="1:48" ht="30" customHeight="1">
      <c r="A463" s="7" t="s">
        <v>571</v>
      </c>
      <c r="B463" s="7" t="s">
        <v>89</v>
      </c>
      <c r="C463" s="7" t="s">
        <v>58</v>
      </c>
      <c r="D463" s="8">
        <v>21</v>
      </c>
      <c r="E463" s="9"/>
      <c r="F463" s="9"/>
      <c r="G463" s="9"/>
      <c r="H463" s="9"/>
      <c r="I463" s="9"/>
      <c r="J463" s="9"/>
      <c r="K463" s="9"/>
      <c r="L463" s="9"/>
      <c r="M463" s="7"/>
      <c r="N463" s="4" t="s">
        <v>293</v>
      </c>
      <c r="O463" s="4" t="s">
        <v>50</v>
      </c>
      <c r="P463" s="4" t="s">
        <v>50</v>
      </c>
      <c r="Q463" s="4" t="s">
        <v>50</v>
      </c>
      <c r="R463" s="4" t="s">
        <v>60</v>
      </c>
      <c r="S463" s="4" t="s">
        <v>61</v>
      </c>
      <c r="T463" s="4" t="s">
        <v>61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4" t="s">
        <v>50</v>
      </c>
      <c r="AS463" s="4" t="s">
        <v>50</v>
      </c>
      <c r="AT463" s="1"/>
      <c r="AU463" s="4" t="s">
        <v>294</v>
      </c>
      <c r="AV463" s="1">
        <v>5672</v>
      </c>
    </row>
    <row r="464" spans="1:48" ht="30" customHeight="1">
      <c r="A464" s="7" t="s">
        <v>572</v>
      </c>
      <c r="B464" s="7" t="s">
        <v>89</v>
      </c>
      <c r="C464" s="7" t="s">
        <v>58</v>
      </c>
      <c r="D464" s="8">
        <v>138</v>
      </c>
      <c r="E464" s="9"/>
      <c r="F464" s="9"/>
      <c r="G464" s="9"/>
      <c r="H464" s="9"/>
      <c r="I464" s="9"/>
      <c r="J464" s="9"/>
      <c r="K464" s="9"/>
      <c r="L464" s="9"/>
      <c r="M464" s="7"/>
      <c r="N464" s="4" t="s">
        <v>295</v>
      </c>
      <c r="O464" s="4" t="s">
        <v>50</v>
      </c>
      <c r="P464" s="4" t="s">
        <v>50</v>
      </c>
      <c r="Q464" s="4" t="s">
        <v>50</v>
      </c>
      <c r="R464" s="4" t="s">
        <v>60</v>
      </c>
      <c r="S464" s="4" t="s">
        <v>61</v>
      </c>
      <c r="T464" s="4" t="s">
        <v>61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4" t="s">
        <v>50</v>
      </c>
      <c r="AS464" s="4" t="s">
        <v>50</v>
      </c>
      <c r="AT464" s="1"/>
      <c r="AU464" s="4" t="s">
        <v>296</v>
      </c>
      <c r="AV464" s="1">
        <v>5673</v>
      </c>
    </row>
    <row r="465" spans="1:48" ht="30" customHeight="1">
      <c r="A465" s="7" t="s">
        <v>598</v>
      </c>
      <c r="B465" s="7" t="s">
        <v>50</v>
      </c>
      <c r="C465" s="7" t="s">
        <v>58</v>
      </c>
      <c r="D465" s="8">
        <v>85</v>
      </c>
      <c r="E465" s="9"/>
      <c r="F465" s="9"/>
      <c r="G465" s="9"/>
      <c r="H465" s="9"/>
      <c r="I465" s="9"/>
      <c r="J465" s="9"/>
      <c r="K465" s="9"/>
      <c r="L465" s="9"/>
      <c r="M465" s="7"/>
      <c r="N465" s="4" t="s">
        <v>297</v>
      </c>
      <c r="O465" s="4" t="s">
        <v>50</v>
      </c>
      <c r="P465" s="4" t="s">
        <v>50</v>
      </c>
      <c r="Q465" s="4" t="s">
        <v>50</v>
      </c>
      <c r="R465" s="4" t="s">
        <v>60</v>
      </c>
      <c r="S465" s="4" t="s">
        <v>61</v>
      </c>
      <c r="T465" s="4" t="s">
        <v>61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4" t="s">
        <v>50</v>
      </c>
      <c r="AS465" s="4" t="s">
        <v>50</v>
      </c>
      <c r="AT465" s="1"/>
      <c r="AU465" s="4" t="s">
        <v>298</v>
      </c>
      <c r="AV465" s="1">
        <v>5082</v>
      </c>
    </row>
    <row r="466" spans="1:48" ht="30" customHeight="1">
      <c r="A466" s="7" t="s">
        <v>599</v>
      </c>
      <c r="B466" s="7" t="s">
        <v>50</v>
      </c>
      <c r="C466" s="7" t="s">
        <v>58</v>
      </c>
      <c r="D466" s="8">
        <v>69</v>
      </c>
      <c r="E466" s="9"/>
      <c r="F466" s="9"/>
      <c r="G466" s="9"/>
      <c r="H466" s="9"/>
      <c r="I466" s="9"/>
      <c r="J466" s="9"/>
      <c r="K466" s="9"/>
      <c r="L466" s="9"/>
      <c r="M466" s="7"/>
      <c r="N466" s="4" t="s">
        <v>299</v>
      </c>
      <c r="O466" s="4" t="s">
        <v>50</v>
      </c>
      <c r="P466" s="4" t="s">
        <v>50</v>
      </c>
      <c r="Q466" s="4" t="s">
        <v>50</v>
      </c>
      <c r="R466" s="4" t="s">
        <v>60</v>
      </c>
      <c r="S466" s="4" t="s">
        <v>61</v>
      </c>
      <c r="T466" s="4" t="s">
        <v>61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4" t="s">
        <v>50</v>
      </c>
      <c r="AS466" s="4" t="s">
        <v>50</v>
      </c>
      <c r="AT466" s="1"/>
      <c r="AU466" s="4" t="s">
        <v>300</v>
      </c>
      <c r="AV466" s="1">
        <v>5674</v>
      </c>
    </row>
    <row r="467" spans="1:48" ht="30" customHeight="1">
      <c r="A467" s="7" t="s">
        <v>573</v>
      </c>
      <c r="B467" s="7" t="s">
        <v>50</v>
      </c>
      <c r="C467" s="7" t="s">
        <v>58</v>
      </c>
      <c r="D467" s="8">
        <v>78</v>
      </c>
      <c r="E467" s="9"/>
      <c r="F467" s="9"/>
      <c r="G467" s="9"/>
      <c r="H467" s="9"/>
      <c r="I467" s="9"/>
      <c r="J467" s="9"/>
      <c r="K467" s="9"/>
      <c r="L467" s="9"/>
      <c r="M467" s="7"/>
      <c r="N467" s="4" t="s">
        <v>301</v>
      </c>
      <c r="O467" s="4" t="s">
        <v>50</v>
      </c>
      <c r="P467" s="4" t="s">
        <v>50</v>
      </c>
      <c r="Q467" s="4" t="s">
        <v>50</v>
      </c>
      <c r="R467" s="4" t="s">
        <v>60</v>
      </c>
      <c r="S467" s="4" t="s">
        <v>61</v>
      </c>
      <c r="T467" s="4" t="s">
        <v>61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4" t="s">
        <v>50</v>
      </c>
      <c r="AS467" s="4" t="s">
        <v>50</v>
      </c>
      <c r="AT467" s="1"/>
      <c r="AU467" s="4" t="s">
        <v>302</v>
      </c>
      <c r="AV467" s="1">
        <v>5084</v>
      </c>
    </row>
    <row r="468" spans="1:48" ht="30" customHeight="1">
      <c r="A468" s="7" t="s">
        <v>562</v>
      </c>
      <c r="B468" s="7" t="s">
        <v>303</v>
      </c>
      <c r="C468" s="7" t="s">
        <v>69</v>
      </c>
      <c r="D468" s="8">
        <v>2</v>
      </c>
      <c r="E468" s="9"/>
      <c r="F468" s="9"/>
      <c r="G468" s="9"/>
      <c r="H468" s="9"/>
      <c r="I468" s="9"/>
      <c r="J468" s="9"/>
      <c r="K468" s="9"/>
      <c r="L468" s="9"/>
      <c r="M468" s="7"/>
      <c r="N468" s="4" t="s">
        <v>304</v>
      </c>
      <c r="O468" s="4" t="s">
        <v>50</v>
      </c>
      <c r="P468" s="4" t="s">
        <v>50</v>
      </c>
      <c r="Q468" s="4" t="s">
        <v>50</v>
      </c>
      <c r="R468" s="4" t="s">
        <v>60</v>
      </c>
      <c r="S468" s="4" t="s">
        <v>61</v>
      </c>
      <c r="T468" s="4" t="s">
        <v>61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4" t="s">
        <v>50</v>
      </c>
      <c r="AS468" s="4" t="s">
        <v>50</v>
      </c>
      <c r="AT468" s="1"/>
      <c r="AU468" s="4" t="s">
        <v>305</v>
      </c>
      <c r="AV468" s="1">
        <v>5676</v>
      </c>
    </row>
    <row r="469" spans="1:48" ht="30" customHeight="1">
      <c r="A469" s="7" t="s">
        <v>574</v>
      </c>
      <c r="B469" s="7" t="s">
        <v>306</v>
      </c>
      <c r="C469" s="7" t="s">
        <v>69</v>
      </c>
      <c r="D469" s="8">
        <v>1</v>
      </c>
      <c r="E469" s="9"/>
      <c r="F469" s="9"/>
      <c r="G469" s="9"/>
      <c r="H469" s="9"/>
      <c r="I469" s="9"/>
      <c r="J469" s="9"/>
      <c r="K469" s="9"/>
      <c r="L469" s="9"/>
      <c r="M469" s="7"/>
      <c r="N469" s="4" t="s">
        <v>307</v>
      </c>
      <c r="O469" s="4" t="s">
        <v>50</v>
      </c>
      <c r="P469" s="4" t="s">
        <v>50</v>
      </c>
      <c r="Q469" s="4" t="s">
        <v>50</v>
      </c>
      <c r="R469" s="4" t="s">
        <v>60</v>
      </c>
      <c r="S469" s="4" t="s">
        <v>61</v>
      </c>
      <c r="T469" s="4" t="s">
        <v>61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4" t="s">
        <v>50</v>
      </c>
      <c r="AS469" s="4" t="s">
        <v>50</v>
      </c>
      <c r="AT469" s="1"/>
      <c r="AU469" s="4" t="s">
        <v>308</v>
      </c>
      <c r="AV469" s="1">
        <v>5675</v>
      </c>
    </row>
    <row r="470" spans="1:48" ht="30" customHeight="1">
      <c r="A470" s="7" t="s">
        <v>106</v>
      </c>
      <c r="B470" s="7" t="s">
        <v>107</v>
      </c>
      <c r="C470" s="7" t="s">
        <v>108</v>
      </c>
      <c r="D470" s="8">
        <v>17.690000000000001</v>
      </c>
      <c r="E470" s="9"/>
      <c r="F470" s="9"/>
      <c r="G470" s="9"/>
      <c r="H470" s="9"/>
      <c r="I470" s="9"/>
      <c r="J470" s="9"/>
      <c r="K470" s="9"/>
      <c r="L470" s="9"/>
      <c r="M470" s="7"/>
      <c r="N470" s="4" t="s">
        <v>109</v>
      </c>
      <c r="O470" s="4" t="s">
        <v>50</v>
      </c>
      <c r="P470" s="4" t="s">
        <v>50</v>
      </c>
      <c r="Q470" s="4" t="s">
        <v>50</v>
      </c>
      <c r="R470" s="4" t="s">
        <v>60</v>
      </c>
      <c r="S470" s="4" t="s">
        <v>61</v>
      </c>
      <c r="T470" s="4" t="s">
        <v>61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4" t="s">
        <v>50</v>
      </c>
      <c r="AS470" s="4" t="s">
        <v>50</v>
      </c>
      <c r="AT470" s="1"/>
      <c r="AU470" s="4" t="s">
        <v>309</v>
      </c>
      <c r="AV470" s="1">
        <v>5041</v>
      </c>
    </row>
    <row r="471" spans="1:48" ht="30" customHeight="1">
      <c r="A471" s="7" t="s">
        <v>111</v>
      </c>
      <c r="B471" s="7" t="s">
        <v>112</v>
      </c>
      <c r="C471" s="7" t="s">
        <v>108</v>
      </c>
      <c r="D471" s="8">
        <v>17.690000000000001</v>
      </c>
      <c r="E471" s="9"/>
      <c r="F471" s="9"/>
      <c r="G471" s="9"/>
      <c r="H471" s="9"/>
      <c r="I471" s="9"/>
      <c r="J471" s="9"/>
      <c r="K471" s="9"/>
      <c r="L471" s="9"/>
      <c r="M471" s="7"/>
      <c r="N471" s="4" t="s">
        <v>113</v>
      </c>
      <c r="O471" s="4" t="s">
        <v>50</v>
      </c>
      <c r="P471" s="4" t="s">
        <v>50</v>
      </c>
      <c r="Q471" s="4" t="s">
        <v>50</v>
      </c>
      <c r="R471" s="4" t="s">
        <v>60</v>
      </c>
      <c r="S471" s="4" t="s">
        <v>61</v>
      </c>
      <c r="T471" s="4" t="s">
        <v>61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4" t="s">
        <v>50</v>
      </c>
      <c r="AS471" s="4" t="s">
        <v>50</v>
      </c>
      <c r="AT471" s="1"/>
      <c r="AU471" s="4" t="s">
        <v>310</v>
      </c>
      <c r="AV471" s="1">
        <v>5042</v>
      </c>
    </row>
    <row r="472" spans="1:48" ht="30" customHeight="1">
      <c r="A472" s="7"/>
      <c r="B472" s="7"/>
      <c r="C472" s="7"/>
      <c r="D472" s="73"/>
      <c r="E472" s="9"/>
      <c r="F472" s="9"/>
      <c r="G472" s="9"/>
      <c r="H472" s="9"/>
      <c r="I472" s="9"/>
      <c r="J472" s="9"/>
      <c r="K472" s="9"/>
      <c r="L472" s="9"/>
      <c r="M472" s="7"/>
      <c r="N472" s="4"/>
      <c r="O472" s="4"/>
      <c r="P472" s="4"/>
      <c r="Q472" s="4"/>
      <c r="R472" s="4"/>
      <c r="S472" s="4"/>
      <c r="T472" s="4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4"/>
      <c r="AS472" s="4"/>
      <c r="AT472" s="1"/>
      <c r="AU472" s="4"/>
      <c r="AV472" s="1"/>
    </row>
    <row r="473" spans="1:48" ht="3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 spans="1:48" ht="3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spans="1:48" ht="3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 spans="1:48" ht="3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 spans="1:48" ht="3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 spans="1:48" ht="3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 spans="1:48" ht="3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 spans="1:48" ht="3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 spans="1:48" ht="3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 spans="1:48" ht="30" customHeight="1">
      <c r="A482" s="8" t="s">
        <v>82</v>
      </c>
      <c r="B482" s="8"/>
      <c r="C482" s="8"/>
      <c r="D482" s="8"/>
      <c r="E482" s="8"/>
      <c r="F482" s="9">
        <f>SUM(F460:F481)</f>
        <v>0</v>
      </c>
      <c r="G482" s="8"/>
      <c r="H482" s="9">
        <f>SUM(H460:H481)</f>
        <v>0</v>
      </c>
      <c r="I482" s="8"/>
      <c r="J482" s="9">
        <f>SUM(J460:J481)</f>
        <v>0</v>
      </c>
      <c r="K482" s="8"/>
      <c r="L482" s="9">
        <f>SUM(L460:L481)</f>
        <v>0</v>
      </c>
      <c r="M482" s="8"/>
      <c r="N482" t="s">
        <v>83</v>
      </c>
    </row>
    <row r="483" spans="1:48" ht="30" customHeight="1">
      <c r="A483" s="7" t="s">
        <v>311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1"/>
      <c r="O483" s="1"/>
      <c r="P483" s="1"/>
      <c r="Q483" s="4" t="s">
        <v>312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ht="30" customHeight="1">
      <c r="A484" s="7" t="s">
        <v>313</v>
      </c>
      <c r="B484" s="7" t="s">
        <v>580</v>
      </c>
      <c r="C484" s="7" t="s">
        <v>58</v>
      </c>
      <c r="D484" s="8">
        <v>51</v>
      </c>
      <c r="E484" s="9"/>
      <c r="F484" s="9"/>
      <c r="G484" s="9"/>
      <c r="H484" s="9"/>
      <c r="I484" s="9"/>
      <c r="J484" s="9"/>
      <c r="K484" s="9"/>
      <c r="L484" s="9"/>
      <c r="M484" s="7"/>
      <c r="N484" s="4" t="s">
        <v>314</v>
      </c>
      <c r="O484" s="4" t="s">
        <v>50</v>
      </c>
      <c r="P484" s="4" t="s">
        <v>50</v>
      </c>
      <c r="Q484" s="4" t="s">
        <v>50</v>
      </c>
      <c r="R484" s="4" t="s">
        <v>60</v>
      </c>
      <c r="S484" s="4" t="s">
        <v>61</v>
      </c>
      <c r="T484" s="4" t="s">
        <v>61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4" t="s">
        <v>50</v>
      </c>
      <c r="AS484" s="4" t="s">
        <v>50</v>
      </c>
      <c r="AT484" s="1"/>
      <c r="AU484" s="4" t="s">
        <v>315</v>
      </c>
      <c r="AV484" s="1">
        <v>5678</v>
      </c>
    </row>
    <row r="485" spans="1:48" ht="30" customHeight="1">
      <c r="A485" s="7" t="s">
        <v>313</v>
      </c>
      <c r="B485" s="7" t="s">
        <v>316</v>
      </c>
      <c r="C485" s="7" t="s">
        <v>58</v>
      </c>
      <c r="D485" s="8">
        <v>60</v>
      </c>
      <c r="E485" s="9"/>
      <c r="F485" s="9"/>
      <c r="G485" s="9"/>
      <c r="H485" s="9"/>
      <c r="I485" s="9"/>
      <c r="J485" s="9"/>
      <c r="K485" s="9"/>
      <c r="L485" s="9"/>
      <c r="M485" s="7"/>
      <c r="N485" s="4" t="s">
        <v>317</v>
      </c>
      <c r="O485" s="4" t="s">
        <v>50</v>
      </c>
      <c r="P485" s="4" t="s">
        <v>50</v>
      </c>
      <c r="Q485" s="4" t="s">
        <v>50</v>
      </c>
      <c r="R485" s="4" t="s">
        <v>60</v>
      </c>
      <c r="S485" s="4" t="s">
        <v>61</v>
      </c>
      <c r="T485" s="4" t="s">
        <v>61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4" t="s">
        <v>50</v>
      </c>
      <c r="AS485" s="4" t="s">
        <v>50</v>
      </c>
      <c r="AT485" s="1"/>
      <c r="AU485" s="4" t="s">
        <v>318</v>
      </c>
      <c r="AV485" s="1">
        <v>5074</v>
      </c>
    </row>
    <row r="486" spans="1:48" ht="30" customHeight="1">
      <c r="A486" s="7" t="s">
        <v>548</v>
      </c>
      <c r="B486" s="7" t="s">
        <v>319</v>
      </c>
      <c r="C486" s="7" t="s">
        <v>58</v>
      </c>
      <c r="D486" s="8">
        <v>76</v>
      </c>
      <c r="E486" s="9"/>
      <c r="F486" s="9"/>
      <c r="G486" s="9"/>
      <c r="H486" s="9"/>
      <c r="I486" s="9"/>
      <c r="J486" s="9"/>
      <c r="K486" s="9"/>
      <c r="L486" s="9"/>
      <c r="M486" s="7"/>
      <c r="N486" s="4" t="s">
        <v>320</v>
      </c>
      <c r="O486" s="4" t="s">
        <v>50</v>
      </c>
      <c r="P486" s="4" t="s">
        <v>50</v>
      </c>
      <c r="Q486" s="4" t="s">
        <v>50</v>
      </c>
      <c r="R486" s="4" t="s">
        <v>60</v>
      </c>
      <c r="S486" s="4" t="s">
        <v>61</v>
      </c>
      <c r="T486" s="4" t="s">
        <v>61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4" t="s">
        <v>50</v>
      </c>
      <c r="AS486" s="4" t="s">
        <v>50</v>
      </c>
      <c r="AT486" s="1"/>
      <c r="AU486" s="4" t="s">
        <v>321</v>
      </c>
      <c r="AV486" s="1">
        <v>5680</v>
      </c>
    </row>
    <row r="487" spans="1:48" ht="3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 spans="1:48" ht="3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 spans="1:48" ht="3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 spans="1:48" ht="3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 spans="1:48" ht="3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 spans="1:48" ht="3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 spans="1:48" ht="3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48" ht="3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48" ht="3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48" ht="3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48" ht="3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48" ht="3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48" ht="3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 spans="1:48" ht="3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 spans="1:48" ht="3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 spans="1:48" ht="3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 spans="1:48" ht="3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 spans="1:48" ht="3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 spans="1:48" ht="3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48" ht="30" customHeight="1">
      <c r="A506" s="8" t="s">
        <v>82</v>
      </c>
      <c r="B506" s="8"/>
      <c r="C506" s="8"/>
      <c r="D506" s="8"/>
      <c r="E506" s="8"/>
      <c r="F506" s="9">
        <f>SUM(F484:F505)</f>
        <v>0</v>
      </c>
      <c r="G506" s="8"/>
      <c r="H506" s="9">
        <f>SUM(H484:H505)</f>
        <v>0</v>
      </c>
      <c r="I506" s="8"/>
      <c r="J506" s="9">
        <f>SUM(J484:J505)</f>
        <v>0</v>
      </c>
      <c r="K506" s="8"/>
      <c r="L506" s="9">
        <f>SUM(L484:L505)</f>
        <v>0</v>
      </c>
      <c r="M506" s="8"/>
      <c r="N506" t="s">
        <v>83</v>
      </c>
    </row>
    <row r="507" spans="1:48" ht="30" customHeight="1">
      <c r="A507" s="7" t="s">
        <v>575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1"/>
      <c r="O507" s="1"/>
      <c r="P507" s="1"/>
      <c r="Q507" s="4" t="s">
        <v>323</v>
      </c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spans="1:48" ht="30" customHeight="1">
      <c r="A508" s="7" t="s">
        <v>152</v>
      </c>
      <c r="B508" s="7" t="s">
        <v>324</v>
      </c>
      <c r="C508" s="7" t="s">
        <v>140</v>
      </c>
      <c r="D508" s="8">
        <v>373</v>
      </c>
      <c r="E508" s="9"/>
      <c r="F508" s="9"/>
      <c r="G508" s="9"/>
      <c r="H508" s="9"/>
      <c r="I508" s="9"/>
      <c r="J508" s="9"/>
      <c r="K508" s="9"/>
      <c r="L508" s="9"/>
      <c r="M508" s="7" t="s">
        <v>50</v>
      </c>
      <c r="N508" s="4" t="s">
        <v>325</v>
      </c>
      <c r="O508" s="4" t="s">
        <v>50</v>
      </c>
      <c r="P508" s="4" t="s">
        <v>50</v>
      </c>
      <c r="Q508" s="4" t="s">
        <v>50</v>
      </c>
      <c r="R508" s="4" t="s">
        <v>61</v>
      </c>
      <c r="S508" s="4" t="s">
        <v>61</v>
      </c>
      <c r="T508" s="4" t="s">
        <v>60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4" t="s">
        <v>50</v>
      </c>
      <c r="AS508" s="4" t="s">
        <v>50</v>
      </c>
      <c r="AT508" s="1"/>
      <c r="AU508" s="4" t="s">
        <v>326</v>
      </c>
      <c r="AV508" s="1">
        <v>5130</v>
      </c>
    </row>
    <row r="509" spans="1:48" ht="30" customHeight="1">
      <c r="A509" s="7" t="s">
        <v>152</v>
      </c>
      <c r="B509" s="7" t="s">
        <v>153</v>
      </c>
      <c r="C509" s="7" t="s">
        <v>140</v>
      </c>
      <c r="D509" s="8">
        <v>140</v>
      </c>
      <c r="E509" s="9"/>
      <c r="F509" s="9"/>
      <c r="G509" s="9"/>
      <c r="H509" s="9"/>
      <c r="I509" s="9"/>
      <c r="J509" s="9"/>
      <c r="K509" s="9"/>
      <c r="L509" s="9"/>
      <c r="M509" s="7" t="s">
        <v>50</v>
      </c>
      <c r="N509" s="4" t="s">
        <v>154</v>
      </c>
      <c r="O509" s="4" t="s">
        <v>50</v>
      </c>
      <c r="P509" s="4" t="s">
        <v>50</v>
      </c>
      <c r="Q509" s="4" t="s">
        <v>50</v>
      </c>
      <c r="R509" s="4" t="s">
        <v>61</v>
      </c>
      <c r="S509" s="4" t="s">
        <v>61</v>
      </c>
      <c r="T509" s="4" t="s">
        <v>60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4" t="s">
        <v>50</v>
      </c>
      <c r="AS509" s="4" t="s">
        <v>50</v>
      </c>
      <c r="AT509" s="1"/>
      <c r="AU509" s="4" t="s">
        <v>327</v>
      </c>
      <c r="AV509" s="1">
        <v>5650</v>
      </c>
    </row>
    <row r="510" spans="1:48" ht="30" customHeight="1">
      <c r="A510" s="7" t="s">
        <v>328</v>
      </c>
      <c r="B510" s="7" t="s">
        <v>157</v>
      </c>
      <c r="C510" s="7" t="s">
        <v>158</v>
      </c>
      <c r="D510" s="8">
        <v>1309</v>
      </c>
      <c r="E510" s="9"/>
      <c r="F510" s="9"/>
      <c r="G510" s="9"/>
      <c r="H510" s="9"/>
      <c r="I510" s="9"/>
      <c r="J510" s="9"/>
      <c r="K510" s="9"/>
      <c r="L510" s="9"/>
      <c r="M510" s="7" t="s">
        <v>50</v>
      </c>
      <c r="N510" s="4" t="s">
        <v>329</v>
      </c>
      <c r="O510" s="4" t="s">
        <v>50</v>
      </c>
      <c r="P510" s="4" t="s">
        <v>50</v>
      </c>
      <c r="Q510" s="4" t="s">
        <v>50</v>
      </c>
      <c r="R510" s="4" t="s">
        <v>61</v>
      </c>
      <c r="S510" s="4" t="s">
        <v>61</v>
      </c>
      <c r="T510" s="4" t="s">
        <v>60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4" t="s">
        <v>50</v>
      </c>
      <c r="AS510" s="4" t="s">
        <v>50</v>
      </c>
      <c r="AT510" s="1"/>
      <c r="AU510" s="4" t="s">
        <v>330</v>
      </c>
      <c r="AV510" s="1">
        <v>4943</v>
      </c>
    </row>
    <row r="511" spans="1:48" ht="30" customHeight="1">
      <c r="A511" s="7" t="s">
        <v>161</v>
      </c>
      <c r="B511" s="7" t="s">
        <v>162</v>
      </c>
      <c r="C511" s="7" t="s">
        <v>108</v>
      </c>
      <c r="D511" s="8">
        <v>1.43</v>
      </c>
      <c r="E511" s="9"/>
      <c r="F511" s="9"/>
      <c r="G511" s="9"/>
      <c r="H511" s="9"/>
      <c r="I511" s="9"/>
      <c r="J511" s="9"/>
      <c r="K511" s="9"/>
      <c r="L511" s="9"/>
      <c r="M511" s="7"/>
      <c r="N511" s="4" t="s">
        <v>163</v>
      </c>
      <c r="O511" s="4" t="s">
        <v>50</v>
      </c>
      <c r="P511" s="4" t="s">
        <v>50</v>
      </c>
      <c r="Q511" s="4" t="s">
        <v>50</v>
      </c>
      <c r="R511" s="4" t="s">
        <v>60</v>
      </c>
      <c r="S511" s="4" t="s">
        <v>61</v>
      </c>
      <c r="T511" s="4" t="s">
        <v>61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4" t="s">
        <v>50</v>
      </c>
      <c r="AS511" s="4" t="s">
        <v>50</v>
      </c>
      <c r="AT511" s="1"/>
      <c r="AU511" s="4" t="s">
        <v>331</v>
      </c>
      <c r="AV511" s="1">
        <v>5134</v>
      </c>
    </row>
    <row r="512" spans="1:48" ht="30" customHeight="1">
      <c r="A512" s="7" t="s">
        <v>165</v>
      </c>
      <c r="B512" s="7" t="s">
        <v>166</v>
      </c>
      <c r="C512" s="7" t="s">
        <v>167</v>
      </c>
      <c r="D512" s="8">
        <v>1189</v>
      </c>
      <c r="E512" s="9"/>
      <c r="F512" s="9"/>
      <c r="G512" s="9"/>
      <c r="H512" s="9"/>
      <c r="I512" s="9"/>
      <c r="J512" s="9"/>
      <c r="K512" s="9"/>
      <c r="L512" s="9"/>
      <c r="M512" s="7"/>
      <c r="N512" s="4" t="s">
        <v>168</v>
      </c>
      <c r="O512" s="4" t="s">
        <v>50</v>
      </c>
      <c r="P512" s="4" t="s">
        <v>50</v>
      </c>
      <c r="Q512" s="4" t="s">
        <v>50</v>
      </c>
      <c r="R512" s="4" t="s">
        <v>60</v>
      </c>
      <c r="S512" s="4" t="s">
        <v>61</v>
      </c>
      <c r="T512" s="4" t="s">
        <v>61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4" t="s">
        <v>50</v>
      </c>
      <c r="AS512" s="4" t="s">
        <v>50</v>
      </c>
      <c r="AT512" s="1"/>
      <c r="AU512" s="4" t="s">
        <v>332</v>
      </c>
      <c r="AV512" s="1">
        <v>4945</v>
      </c>
    </row>
    <row r="513" spans="1:48" ht="30" customHeight="1">
      <c r="A513" s="7" t="s">
        <v>170</v>
      </c>
      <c r="B513" s="7" t="s">
        <v>171</v>
      </c>
      <c r="C513" s="7" t="s">
        <v>140</v>
      </c>
      <c r="D513" s="8">
        <v>2</v>
      </c>
      <c r="E513" s="9"/>
      <c r="F513" s="9"/>
      <c r="G513" s="9"/>
      <c r="H513" s="9"/>
      <c r="I513" s="9"/>
      <c r="J513" s="9"/>
      <c r="K513" s="9"/>
      <c r="L513" s="9"/>
      <c r="M513" s="7"/>
      <c r="N513" s="4" t="s">
        <v>172</v>
      </c>
      <c r="O513" s="4" t="s">
        <v>50</v>
      </c>
      <c r="P513" s="4" t="s">
        <v>50</v>
      </c>
      <c r="Q513" s="4" t="s">
        <v>50</v>
      </c>
      <c r="R513" s="4" t="s">
        <v>60</v>
      </c>
      <c r="S513" s="4" t="s">
        <v>61</v>
      </c>
      <c r="T513" s="4" t="s">
        <v>61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4" t="s">
        <v>50</v>
      </c>
      <c r="AS513" s="4" t="s">
        <v>50</v>
      </c>
      <c r="AT513" s="1"/>
      <c r="AU513" s="4" t="s">
        <v>333</v>
      </c>
      <c r="AV513" s="1">
        <v>4946</v>
      </c>
    </row>
    <row r="514" spans="1:48" ht="30" customHeight="1">
      <c r="A514" s="7" t="s">
        <v>334</v>
      </c>
      <c r="B514" s="7" t="s">
        <v>335</v>
      </c>
      <c r="C514" s="7" t="s">
        <v>145</v>
      </c>
      <c r="D514" s="8">
        <v>1</v>
      </c>
      <c r="E514" s="9"/>
      <c r="F514" s="9"/>
      <c r="G514" s="9"/>
      <c r="H514" s="9"/>
      <c r="I514" s="9"/>
      <c r="J514" s="9"/>
      <c r="K514" s="9"/>
      <c r="L514" s="9"/>
      <c r="M514" s="7"/>
      <c r="N514" s="4" t="s">
        <v>336</v>
      </c>
      <c r="O514" s="4" t="s">
        <v>50</v>
      </c>
      <c r="P514" s="4" t="s">
        <v>50</v>
      </c>
      <c r="Q514" s="4" t="s">
        <v>50</v>
      </c>
      <c r="R514" s="4" t="s">
        <v>60</v>
      </c>
      <c r="S514" s="4" t="s">
        <v>61</v>
      </c>
      <c r="T514" s="4" t="s">
        <v>61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4" t="s">
        <v>50</v>
      </c>
      <c r="AS514" s="4" t="s">
        <v>50</v>
      </c>
      <c r="AT514" s="1"/>
      <c r="AU514" s="4" t="s">
        <v>337</v>
      </c>
      <c r="AV514" s="1">
        <v>5688</v>
      </c>
    </row>
    <row r="515" spans="1:48" ht="3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48" ht="3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48" ht="3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48" ht="3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48" ht="3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48" ht="3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48" ht="3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48" ht="3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48" ht="3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48" ht="3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48" ht="3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48" ht="3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48" ht="3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 spans="1:48" ht="3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 spans="1:48" ht="3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 spans="1:48" ht="30" customHeight="1">
      <c r="A530" s="8" t="s">
        <v>82</v>
      </c>
      <c r="B530" s="8"/>
      <c r="C530" s="8"/>
      <c r="D530" s="8"/>
      <c r="E530" s="8"/>
      <c r="F530" s="9">
        <f>SUM(F508:F529)</f>
        <v>0</v>
      </c>
      <c r="G530" s="8"/>
      <c r="H530" s="9">
        <f>SUM(H508:H529)</f>
        <v>0</v>
      </c>
      <c r="I530" s="8"/>
      <c r="J530" s="9">
        <f>SUM(J508:J529)</f>
        <v>0</v>
      </c>
      <c r="K530" s="8"/>
      <c r="L530" s="9">
        <f>SUM(L508:L529)</f>
        <v>0</v>
      </c>
      <c r="M530" s="8"/>
      <c r="N530" t="s">
        <v>83</v>
      </c>
    </row>
    <row r="531" spans="1:48" ht="30" customHeight="1">
      <c r="A531" s="7" t="s">
        <v>338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1"/>
      <c r="O531" s="1"/>
      <c r="P531" s="1"/>
      <c r="Q531" s="4" t="s">
        <v>339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spans="1:48" ht="30" customHeight="1">
      <c r="A532" s="7" t="s">
        <v>181</v>
      </c>
      <c r="B532" s="7" t="s">
        <v>182</v>
      </c>
      <c r="C532" s="7" t="s">
        <v>58</v>
      </c>
      <c r="D532" s="8">
        <v>87</v>
      </c>
      <c r="E532" s="9"/>
      <c r="F532" s="9"/>
      <c r="G532" s="9"/>
      <c r="H532" s="9"/>
      <c r="I532" s="9"/>
      <c r="J532" s="9"/>
      <c r="K532" s="9"/>
      <c r="L532" s="9"/>
      <c r="M532" s="7"/>
      <c r="N532" s="4" t="s">
        <v>183</v>
      </c>
      <c r="O532" s="4" t="s">
        <v>50</v>
      </c>
      <c r="P532" s="4" t="s">
        <v>50</v>
      </c>
      <c r="Q532" s="4" t="s">
        <v>50</v>
      </c>
      <c r="R532" s="4" t="s">
        <v>60</v>
      </c>
      <c r="S532" s="4" t="s">
        <v>61</v>
      </c>
      <c r="T532" s="4" t="s">
        <v>61</v>
      </c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4" t="s">
        <v>50</v>
      </c>
      <c r="AS532" s="4" t="s">
        <v>50</v>
      </c>
      <c r="AT532" s="1"/>
      <c r="AU532" s="4" t="s">
        <v>340</v>
      </c>
      <c r="AV532" s="1">
        <v>5139</v>
      </c>
    </row>
    <row r="533" spans="1:48" ht="30" customHeight="1">
      <c r="A533" s="7" t="s">
        <v>341</v>
      </c>
      <c r="B533" s="7" t="s">
        <v>342</v>
      </c>
      <c r="C533" s="7" t="s">
        <v>58</v>
      </c>
      <c r="D533" s="8">
        <v>96</v>
      </c>
      <c r="E533" s="9"/>
      <c r="F533" s="9"/>
      <c r="G533" s="9"/>
      <c r="H533" s="9"/>
      <c r="I533" s="9"/>
      <c r="J533" s="9"/>
      <c r="K533" s="9"/>
      <c r="L533" s="9"/>
      <c r="M533" s="7"/>
      <c r="N533" s="4" t="s">
        <v>343</v>
      </c>
      <c r="O533" s="4" t="s">
        <v>50</v>
      </c>
      <c r="P533" s="4" t="s">
        <v>50</v>
      </c>
      <c r="Q533" s="4" t="s">
        <v>50</v>
      </c>
      <c r="R533" s="4" t="s">
        <v>60</v>
      </c>
      <c r="S533" s="4" t="s">
        <v>61</v>
      </c>
      <c r="T533" s="4" t="s">
        <v>61</v>
      </c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4" t="s">
        <v>50</v>
      </c>
      <c r="AS533" s="4" t="s">
        <v>50</v>
      </c>
      <c r="AT533" s="1"/>
      <c r="AU533" s="4" t="s">
        <v>344</v>
      </c>
      <c r="AV533" s="1">
        <v>4950</v>
      </c>
    </row>
    <row r="534" spans="1:48" ht="30" customHeight="1">
      <c r="A534" s="7" t="s">
        <v>185</v>
      </c>
      <c r="B534" s="7" t="s">
        <v>186</v>
      </c>
      <c r="C534" s="7" t="s">
        <v>58</v>
      </c>
      <c r="D534" s="8">
        <v>51</v>
      </c>
      <c r="E534" s="9"/>
      <c r="F534" s="9"/>
      <c r="G534" s="9"/>
      <c r="H534" s="9"/>
      <c r="I534" s="9"/>
      <c r="J534" s="9"/>
      <c r="K534" s="9"/>
      <c r="L534" s="9"/>
      <c r="M534" s="7"/>
      <c r="N534" s="4" t="s">
        <v>187</v>
      </c>
      <c r="O534" s="4" t="s">
        <v>50</v>
      </c>
      <c r="P534" s="4" t="s">
        <v>50</v>
      </c>
      <c r="Q534" s="4" t="s">
        <v>50</v>
      </c>
      <c r="R534" s="4" t="s">
        <v>60</v>
      </c>
      <c r="S534" s="4" t="s">
        <v>61</v>
      </c>
      <c r="T534" s="4" t="s">
        <v>61</v>
      </c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4" t="s">
        <v>50</v>
      </c>
      <c r="AS534" s="4" t="s">
        <v>50</v>
      </c>
      <c r="AT534" s="1"/>
      <c r="AU534" s="4" t="s">
        <v>345</v>
      </c>
      <c r="AV534" s="1">
        <v>5289</v>
      </c>
    </row>
    <row r="535" spans="1:48" ht="3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 spans="1:48" ht="3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 spans="1:48" ht="3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48" ht="3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48" ht="3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 spans="1:48" ht="3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48" ht="3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48" ht="3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48" ht="3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48" ht="3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48" ht="3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48" ht="3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48" ht="3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48" ht="3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48" ht="3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48" ht="3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48" ht="3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48" ht="3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48" ht="3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48" ht="30" customHeight="1">
      <c r="A554" s="8" t="s">
        <v>82</v>
      </c>
      <c r="B554" s="8"/>
      <c r="C554" s="8"/>
      <c r="D554" s="8"/>
      <c r="E554" s="8"/>
      <c r="F554" s="9">
        <f>SUM(F532:F553)</f>
        <v>0</v>
      </c>
      <c r="G554" s="8"/>
      <c r="H554" s="9">
        <f>SUM(H532:H553)</f>
        <v>0</v>
      </c>
      <c r="I554" s="8"/>
      <c r="J554" s="9">
        <f>SUM(J532:J553)</f>
        <v>0</v>
      </c>
      <c r="K554" s="8"/>
      <c r="L554" s="9">
        <f>SUM(L532:L553)</f>
        <v>0</v>
      </c>
      <c r="M554" s="8"/>
      <c r="N554" t="s">
        <v>83</v>
      </c>
    </row>
    <row r="555" spans="1:48" ht="30" customHeight="1">
      <c r="A555" s="7" t="s">
        <v>346</v>
      </c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1"/>
      <c r="O555" s="1"/>
      <c r="P555" s="1"/>
      <c r="Q555" s="4" t="s">
        <v>347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spans="1:48" ht="30" customHeight="1">
      <c r="A556" s="7" t="s">
        <v>348</v>
      </c>
      <c r="B556" s="7" t="s">
        <v>303</v>
      </c>
      <c r="C556" s="7" t="s">
        <v>69</v>
      </c>
      <c r="D556" s="8">
        <v>1</v>
      </c>
      <c r="E556" s="9"/>
      <c r="F556" s="9"/>
      <c r="G556" s="9"/>
      <c r="H556" s="9"/>
      <c r="I556" s="9"/>
      <c r="J556" s="9"/>
      <c r="K556" s="9"/>
      <c r="L556" s="9"/>
      <c r="M556" s="7"/>
      <c r="N556" s="4" t="s">
        <v>349</v>
      </c>
      <c r="O556" s="4" t="s">
        <v>50</v>
      </c>
      <c r="P556" s="4" t="s">
        <v>50</v>
      </c>
      <c r="Q556" s="4" t="s">
        <v>50</v>
      </c>
      <c r="R556" s="4" t="s">
        <v>60</v>
      </c>
      <c r="S556" s="4" t="s">
        <v>61</v>
      </c>
      <c r="T556" s="4" t="s">
        <v>61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4" t="s">
        <v>50</v>
      </c>
      <c r="AS556" s="4" t="s">
        <v>50</v>
      </c>
      <c r="AT556" s="1"/>
      <c r="AU556" s="4" t="s">
        <v>350</v>
      </c>
      <c r="AV556" s="1">
        <v>5685</v>
      </c>
    </row>
    <row r="557" spans="1:48" ht="30" customHeight="1">
      <c r="A557" s="7" t="s">
        <v>351</v>
      </c>
      <c r="B557" s="7" t="s">
        <v>68</v>
      </c>
      <c r="C557" s="7" t="s">
        <v>69</v>
      </c>
      <c r="D557" s="8">
        <v>1</v>
      </c>
      <c r="E557" s="9"/>
      <c r="F557" s="9"/>
      <c r="G557" s="9"/>
      <c r="H557" s="9"/>
      <c r="I557" s="9"/>
      <c r="J557" s="9"/>
      <c r="K557" s="9"/>
      <c r="L557" s="9"/>
      <c r="M557" s="7" t="s">
        <v>50</v>
      </c>
      <c r="N557" s="4" t="s">
        <v>352</v>
      </c>
      <c r="O557" s="4" t="s">
        <v>50</v>
      </c>
      <c r="P557" s="4" t="s">
        <v>50</v>
      </c>
      <c r="Q557" s="4" t="s">
        <v>50</v>
      </c>
      <c r="R557" s="4" t="s">
        <v>61</v>
      </c>
      <c r="S557" s="4" t="s">
        <v>61</v>
      </c>
      <c r="T557" s="4" t="s">
        <v>60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4" t="s">
        <v>50</v>
      </c>
      <c r="AS557" s="4" t="s">
        <v>50</v>
      </c>
      <c r="AT557" s="1"/>
      <c r="AU557" s="4" t="s">
        <v>353</v>
      </c>
      <c r="AV557" s="1">
        <v>5681</v>
      </c>
    </row>
    <row r="558" spans="1:48" ht="30" customHeight="1">
      <c r="A558" s="7" t="s">
        <v>354</v>
      </c>
      <c r="B558" s="7" t="s">
        <v>582</v>
      </c>
      <c r="C558" s="7" t="s">
        <v>69</v>
      </c>
      <c r="D558" s="8">
        <v>1</v>
      </c>
      <c r="E558" s="9"/>
      <c r="F558" s="9"/>
      <c r="G558" s="9"/>
      <c r="H558" s="9"/>
      <c r="I558" s="9"/>
      <c r="J558" s="9"/>
      <c r="K558" s="9"/>
      <c r="L558" s="9"/>
      <c r="M558" s="7" t="s">
        <v>50</v>
      </c>
      <c r="N558" s="4" t="s">
        <v>355</v>
      </c>
      <c r="O558" s="4" t="s">
        <v>50</v>
      </c>
      <c r="P558" s="4" t="s">
        <v>50</v>
      </c>
      <c r="Q558" s="4" t="s">
        <v>50</v>
      </c>
      <c r="R558" s="4" t="s">
        <v>61</v>
      </c>
      <c r="S558" s="4" t="s">
        <v>61</v>
      </c>
      <c r="T558" s="4" t="s">
        <v>60</v>
      </c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4" t="s">
        <v>50</v>
      </c>
      <c r="AS558" s="4" t="s">
        <v>50</v>
      </c>
      <c r="AT558" s="1"/>
      <c r="AU558" s="4" t="s">
        <v>356</v>
      </c>
      <c r="AV558" s="1">
        <v>5682</v>
      </c>
    </row>
    <row r="559" spans="1:48" ht="30" customHeight="1">
      <c r="A559" s="7" t="s">
        <v>581</v>
      </c>
      <c r="B559" s="7"/>
      <c r="C559" s="7" t="s">
        <v>69</v>
      </c>
      <c r="D559" s="73">
        <v>2</v>
      </c>
      <c r="E559" s="9"/>
      <c r="F559" s="9"/>
      <c r="G559" s="9"/>
      <c r="H559" s="9"/>
      <c r="I559" s="9"/>
      <c r="J559" s="9"/>
      <c r="K559" s="9"/>
      <c r="L559" s="9"/>
      <c r="M559" s="8"/>
    </row>
    <row r="560" spans="1:48" ht="3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 spans="1:13" ht="3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 spans="1:13" ht="3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 spans="1:13" ht="3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 spans="1:13" ht="3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 spans="1:13" ht="3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 spans="1:13" ht="3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 spans="1:13" ht="3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 spans="1:13" ht="3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 spans="1:13" ht="3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 ht="3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 ht="3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 ht="3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 ht="3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 ht="3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 ht="3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 spans="1:13" ht="3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 spans="1:48" ht="3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 spans="1:48" ht="30" customHeight="1">
      <c r="A578" s="8" t="s">
        <v>82</v>
      </c>
      <c r="B578" s="8"/>
      <c r="C578" s="8"/>
      <c r="D578" s="8"/>
      <c r="E578" s="8"/>
      <c r="F578" s="9">
        <f>SUM(F556:F577)</f>
        <v>0</v>
      </c>
      <c r="G578" s="8"/>
      <c r="H578" s="9">
        <f>SUM(H556:H577)</f>
        <v>0</v>
      </c>
      <c r="I578" s="8"/>
      <c r="J578" s="9">
        <f>SUM(J556:J577)</f>
        <v>0</v>
      </c>
      <c r="K578" s="8"/>
      <c r="L578" s="9">
        <f>SUM(L556:L577)</f>
        <v>0</v>
      </c>
      <c r="M578" s="8"/>
      <c r="N578" t="s">
        <v>83</v>
      </c>
    </row>
    <row r="579" spans="1:48" ht="30" customHeight="1">
      <c r="A579" s="7" t="s">
        <v>357</v>
      </c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1"/>
      <c r="O579" s="1"/>
      <c r="P579" s="1"/>
      <c r="Q579" s="4" t="s">
        <v>358</v>
      </c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spans="1:48" ht="30" customHeight="1">
      <c r="A580" s="7" t="s">
        <v>359</v>
      </c>
      <c r="B580" s="7" t="s">
        <v>360</v>
      </c>
      <c r="C580" s="7" t="s">
        <v>58</v>
      </c>
      <c r="D580" s="8">
        <v>24</v>
      </c>
      <c r="E580" s="9"/>
      <c r="F580" s="9"/>
      <c r="G580" s="9"/>
      <c r="H580" s="9"/>
      <c r="I580" s="9"/>
      <c r="J580" s="9"/>
      <c r="K580" s="9"/>
      <c r="L580" s="9"/>
      <c r="M580" s="7" t="s">
        <v>50</v>
      </c>
      <c r="N580" s="4" t="s">
        <v>361</v>
      </c>
      <c r="O580" s="4" t="s">
        <v>50</v>
      </c>
      <c r="P580" s="4" t="s">
        <v>50</v>
      </c>
      <c r="Q580" s="4" t="s">
        <v>50</v>
      </c>
      <c r="R580" s="4" t="s">
        <v>61</v>
      </c>
      <c r="S580" s="4" t="s">
        <v>61</v>
      </c>
      <c r="T580" s="4" t="s">
        <v>60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4" t="s">
        <v>50</v>
      </c>
      <c r="AS580" s="4" t="s">
        <v>50</v>
      </c>
      <c r="AT580" s="1"/>
      <c r="AU580" s="4" t="s">
        <v>362</v>
      </c>
      <c r="AV580" s="1">
        <v>5686</v>
      </c>
    </row>
    <row r="581" spans="1:48" ht="30" customHeight="1">
      <c r="A581" s="7" t="s">
        <v>363</v>
      </c>
      <c r="B581" s="7" t="s">
        <v>364</v>
      </c>
      <c r="C581" s="7" t="s">
        <v>58</v>
      </c>
      <c r="D581" s="8">
        <v>40</v>
      </c>
      <c r="E581" s="9"/>
      <c r="F581" s="9"/>
      <c r="G581" s="9"/>
      <c r="H581" s="9"/>
      <c r="I581" s="9"/>
      <c r="J581" s="9"/>
      <c r="K581" s="9"/>
      <c r="L581" s="9"/>
      <c r="M581" s="7" t="s">
        <v>50</v>
      </c>
      <c r="N581" s="4" t="s">
        <v>365</v>
      </c>
      <c r="O581" s="4" t="s">
        <v>50</v>
      </c>
      <c r="P581" s="4" t="s">
        <v>50</v>
      </c>
      <c r="Q581" s="4" t="s">
        <v>50</v>
      </c>
      <c r="R581" s="4" t="s">
        <v>61</v>
      </c>
      <c r="S581" s="4" t="s">
        <v>61</v>
      </c>
      <c r="T581" s="4" t="s">
        <v>60</v>
      </c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4" t="s">
        <v>50</v>
      </c>
      <c r="AS581" s="4" t="s">
        <v>50</v>
      </c>
      <c r="AT581" s="1"/>
      <c r="AU581" s="4" t="s">
        <v>366</v>
      </c>
      <c r="AV581" s="1">
        <v>4954</v>
      </c>
    </row>
    <row r="582" spans="1:48" ht="30" customHeight="1">
      <c r="A582" s="7" t="s">
        <v>549</v>
      </c>
      <c r="B582" s="7" t="s">
        <v>367</v>
      </c>
      <c r="C582" s="7" t="s">
        <v>58</v>
      </c>
      <c r="D582" s="8">
        <v>24</v>
      </c>
      <c r="E582" s="9"/>
      <c r="F582" s="9"/>
      <c r="G582" s="9"/>
      <c r="H582" s="9"/>
      <c r="I582" s="9"/>
      <c r="J582" s="9"/>
      <c r="K582" s="9"/>
      <c r="L582" s="9"/>
      <c r="M582" s="7"/>
      <c r="N582" s="4" t="s">
        <v>368</v>
      </c>
      <c r="O582" s="4" t="s">
        <v>50</v>
      </c>
      <c r="P582" s="4" t="s">
        <v>50</v>
      </c>
      <c r="Q582" s="4" t="s">
        <v>50</v>
      </c>
      <c r="R582" s="4" t="s">
        <v>60</v>
      </c>
      <c r="S582" s="4" t="s">
        <v>61</v>
      </c>
      <c r="T582" s="4" t="s">
        <v>61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4" t="s">
        <v>50</v>
      </c>
      <c r="AS582" s="4" t="s">
        <v>50</v>
      </c>
      <c r="AT582" s="1"/>
      <c r="AU582" s="4" t="s">
        <v>369</v>
      </c>
      <c r="AV582" s="1">
        <v>5687</v>
      </c>
    </row>
    <row r="583" spans="1:48" ht="30" customHeight="1">
      <c r="A583" s="7" t="s">
        <v>549</v>
      </c>
      <c r="B583" s="7" t="s">
        <v>370</v>
      </c>
      <c r="C583" s="7" t="s">
        <v>58</v>
      </c>
      <c r="D583" s="8">
        <v>40</v>
      </c>
      <c r="E583" s="9"/>
      <c r="F583" s="9"/>
      <c r="G583" s="9"/>
      <c r="H583" s="9"/>
      <c r="I583" s="9"/>
      <c r="J583" s="9"/>
      <c r="K583" s="9"/>
      <c r="L583" s="9"/>
      <c r="M583" s="7"/>
      <c r="N583" s="4" t="s">
        <v>371</v>
      </c>
      <c r="O583" s="4" t="s">
        <v>50</v>
      </c>
      <c r="P583" s="4" t="s">
        <v>50</v>
      </c>
      <c r="Q583" s="4" t="s">
        <v>50</v>
      </c>
      <c r="R583" s="4" t="s">
        <v>60</v>
      </c>
      <c r="S583" s="4" t="s">
        <v>61</v>
      </c>
      <c r="T583" s="4" t="s">
        <v>61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4" t="s">
        <v>50</v>
      </c>
      <c r="AS583" s="4" t="s">
        <v>50</v>
      </c>
      <c r="AT583" s="1"/>
      <c r="AU583" s="4" t="s">
        <v>372</v>
      </c>
      <c r="AV583" s="1">
        <v>4956</v>
      </c>
    </row>
    <row r="584" spans="1:48" ht="30" customHeight="1">
      <c r="A584" s="7" t="s">
        <v>373</v>
      </c>
      <c r="B584" s="7" t="s">
        <v>374</v>
      </c>
      <c r="C584" s="7" t="s">
        <v>140</v>
      </c>
      <c r="D584" s="8">
        <v>352</v>
      </c>
      <c r="E584" s="9"/>
      <c r="F584" s="9"/>
      <c r="G584" s="9"/>
      <c r="H584" s="9"/>
      <c r="I584" s="9"/>
      <c r="J584" s="9"/>
      <c r="K584" s="9"/>
      <c r="L584" s="9"/>
      <c r="M584" s="7"/>
      <c r="N584" s="4" t="s">
        <v>375</v>
      </c>
      <c r="O584" s="4" t="s">
        <v>50</v>
      </c>
      <c r="P584" s="4" t="s">
        <v>50</v>
      </c>
      <c r="Q584" s="4" t="s">
        <v>50</v>
      </c>
      <c r="R584" s="4" t="s">
        <v>60</v>
      </c>
      <c r="S584" s="4" t="s">
        <v>61</v>
      </c>
      <c r="T584" s="4" t="s">
        <v>61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4" t="s">
        <v>50</v>
      </c>
      <c r="AS584" s="4" t="s">
        <v>50</v>
      </c>
      <c r="AT584" s="1"/>
      <c r="AU584" s="4" t="s">
        <v>376</v>
      </c>
      <c r="AV584" s="1">
        <v>4957</v>
      </c>
    </row>
    <row r="585" spans="1:48" ht="30" customHeight="1">
      <c r="A585" s="7" t="s">
        <v>377</v>
      </c>
      <c r="B585" s="7" t="s">
        <v>374</v>
      </c>
      <c r="C585" s="7" t="s">
        <v>140</v>
      </c>
      <c r="D585" s="8">
        <v>117</v>
      </c>
      <c r="E585" s="9"/>
      <c r="F585" s="9"/>
      <c r="G585" s="9"/>
      <c r="H585" s="9"/>
      <c r="I585" s="9"/>
      <c r="J585" s="9"/>
      <c r="K585" s="9"/>
      <c r="L585" s="9"/>
      <c r="M585" s="7"/>
      <c r="N585" s="4" t="s">
        <v>378</v>
      </c>
      <c r="O585" s="4" t="s">
        <v>50</v>
      </c>
      <c r="P585" s="4" t="s">
        <v>50</v>
      </c>
      <c r="Q585" s="4" t="s">
        <v>50</v>
      </c>
      <c r="R585" s="4" t="s">
        <v>60</v>
      </c>
      <c r="S585" s="4" t="s">
        <v>61</v>
      </c>
      <c r="T585" s="4" t="s">
        <v>61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4" t="s">
        <v>50</v>
      </c>
      <c r="AS585" s="4" t="s">
        <v>50</v>
      </c>
      <c r="AT585" s="1"/>
      <c r="AU585" s="4" t="s">
        <v>379</v>
      </c>
      <c r="AV585" s="1">
        <v>4958</v>
      </c>
    </row>
    <row r="586" spans="1:48" ht="3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48" ht="3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48" ht="3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48" ht="3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48" ht="3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48" ht="3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48" ht="3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48" ht="3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48" ht="3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48" ht="3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48" ht="3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48" ht="3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48" ht="3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48" ht="3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48" ht="3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48" ht="3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48" ht="30" customHeight="1">
      <c r="A602" s="8" t="s">
        <v>82</v>
      </c>
      <c r="B602" s="8"/>
      <c r="C602" s="8"/>
      <c r="D602" s="8"/>
      <c r="E602" s="8"/>
      <c r="F602" s="9">
        <f>SUM(F580:F601)</f>
        <v>0</v>
      </c>
      <c r="G602" s="8"/>
      <c r="H602" s="9">
        <f>SUM(H580:H601)</f>
        <v>0</v>
      </c>
      <c r="I602" s="8"/>
      <c r="J602" s="9">
        <f>SUM(J580:J601)</f>
        <v>0</v>
      </c>
      <c r="K602" s="8"/>
      <c r="L602" s="9">
        <f>SUM(L580:L601)</f>
        <v>0</v>
      </c>
      <c r="M602" s="8"/>
      <c r="N602" t="s">
        <v>83</v>
      </c>
    </row>
    <row r="603" spans="1:48" ht="30" customHeight="1">
      <c r="A603" s="7" t="s">
        <v>380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1"/>
      <c r="O603" s="1"/>
      <c r="P603" s="1"/>
      <c r="Q603" s="4" t="s">
        <v>381</v>
      </c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spans="1:48" ht="30" customHeight="1">
      <c r="A604" s="7" t="s">
        <v>215</v>
      </c>
      <c r="B604" s="7" t="s">
        <v>216</v>
      </c>
      <c r="C604" s="7" t="s">
        <v>167</v>
      </c>
      <c r="D604" s="8">
        <v>213</v>
      </c>
      <c r="E604" s="9"/>
      <c r="F604" s="9"/>
      <c r="G604" s="9"/>
      <c r="H604" s="9"/>
      <c r="I604" s="9"/>
      <c r="J604" s="9"/>
      <c r="K604" s="9"/>
      <c r="L604" s="9"/>
      <c r="M604" s="7" t="s">
        <v>217</v>
      </c>
      <c r="N604" s="4" t="s">
        <v>218</v>
      </c>
      <c r="O604" s="4" t="s">
        <v>50</v>
      </c>
      <c r="P604" s="4" t="s">
        <v>50</v>
      </c>
      <c r="Q604" s="4" t="s">
        <v>50</v>
      </c>
      <c r="R604" s="4" t="s">
        <v>61</v>
      </c>
      <c r="S604" s="4" t="s">
        <v>61</v>
      </c>
      <c r="T604" s="4" t="s">
        <v>60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4" t="s">
        <v>50</v>
      </c>
      <c r="AS604" s="4" t="s">
        <v>50</v>
      </c>
      <c r="AT604" s="1"/>
      <c r="AU604" s="4" t="s">
        <v>382</v>
      </c>
      <c r="AV604" s="1">
        <v>4960</v>
      </c>
    </row>
    <row r="605" spans="1:48" ht="3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 spans="1:48" ht="3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 spans="1:48" ht="3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 spans="1:48" ht="3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 spans="1:13" ht="3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 spans="1:13" ht="3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 spans="1:13" ht="3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 spans="1:13" ht="3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 spans="1:13" ht="3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 spans="1:13" ht="3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 ht="3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 ht="3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 ht="3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 ht="3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 ht="3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 ht="3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 ht="3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 ht="3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 ht="3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 ht="3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48" ht="3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48" ht="30" customHeight="1">
      <c r="A626" s="8" t="s">
        <v>82</v>
      </c>
      <c r="B626" s="8"/>
      <c r="C626" s="8"/>
      <c r="D626" s="8"/>
      <c r="E626" s="8"/>
      <c r="F626" s="9">
        <f>SUM(F604:F625)</f>
        <v>0</v>
      </c>
      <c r="G626" s="8"/>
      <c r="H626" s="9">
        <f>SUM(H604:H625)</f>
        <v>0</v>
      </c>
      <c r="I626" s="8"/>
      <c r="J626" s="9">
        <f>SUM(J604:J625)</f>
        <v>0</v>
      </c>
      <c r="K626" s="8"/>
      <c r="L626" s="9">
        <f>SUM(L604:L625)</f>
        <v>0</v>
      </c>
      <c r="M626" s="8"/>
      <c r="N626" t="s">
        <v>83</v>
      </c>
    </row>
    <row r="627" spans="1:48" ht="30" customHeight="1">
      <c r="A627" s="71" t="s">
        <v>576</v>
      </c>
      <c r="B627" s="72"/>
      <c r="C627" s="72"/>
      <c r="D627" s="72"/>
      <c r="E627" s="72"/>
      <c r="F627" s="9"/>
      <c r="G627" s="72"/>
      <c r="H627" s="9"/>
      <c r="I627" s="72"/>
      <c r="J627" s="9"/>
      <c r="K627" s="72"/>
      <c r="L627" s="9"/>
      <c r="M627" s="72"/>
    </row>
    <row r="628" spans="1:48" ht="30" customHeight="1">
      <c r="A628" s="7" t="s">
        <v>577</v>
      </c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1"/>
      <c r="O628" s="1"/>
      <c r="P628" s="1"/>
      <c r="Q628" s="4" t="s">
        <v>386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spans="1:48" ht="30" customHeight="1">
      <c r="A629" s="7" t="s">
        <v>543</v>
      </c>
      <c r="B629" s="7" t="s">
        <v>57</v>
      </c>
      <c r="C629" s="7" t="s">
        <v>58</v>
      </c>
      <c r="D629" s="8">
        <v>53</v>
      </c>
      <c r="E629" s="9"/>
      <c r="F629" s="9"/>
      <c r="G629" s="9"/>
      <c r="H629" s="9"/>
      <c r="I629" s="9"/>
      <c r="J629" s="9"/>
      <c r="K629" s="9"/>
      <c r="L629" s="9"/>
      <c r="M629" s="7"/>
      <c r="N629" s="4" t="s">
        <v>59</v>
      </c>
      <c r="O629" s="4" t="s">
        <v>50</v>
      </c>
      <c r="P629" s="4" t="s">
        <v>50</v>
      </c>
      <c r="Q629" s="4" t="s">
        <v>50</v>
      </c>
      <c r="R629" s="4" t="s">
        <v>60</v>
      </c>
      <c r="S629" s="4" t="s">
        <v>61</v>
      </c>
      <c r="T629" s="4" t="s">
        <v>61</v>
      </c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4" t="s">
        <v>50</v>
      </c>
      <c r="AS629" s="4" t="s">
        <v>50</v>
      </c>
      <c r="AT629" s="1"/>
      <c r="AU629" s="4" t="s">
        <v>387</v>
      </c>
      <c r="AV629" s="1">
        <v>5749</v>
      </c>
    </row>
    <row r="630" spans="1:48" ht="30" customHeight="1">
      <c r="A630" s="7" t="s">
        <v>556</v>
      </c>
      <c r="B630" s="7" t="s">
        <v>63</v>
      </c>
      <c r="C630" s="7" t="s">
        <v>58</v>
      </c>
      <c r="D630" s="8">
        <v>53</v>
      </c>
      <c r="E630" s="9"/>
      <c r="F630" s="9"/>
      <c r="G630" s="9"/>
      <c r="H630" s="9"/>
      <c r="I630" s="9"/>
      <c r="J630" s="9"/>
      <c r="K630" s="9"/>
      <c r="L630" s="9"/>
      <c r="M630" s="7"/>
      <c r="N630" s="4" t="s">
        <v>64</v>
      </c>
      <c r="O630" s="4" t="s">
        <v>50</v>
      </c>
      <c r="P630" s="4" t="s">
        <v>50</v>
      </c>
      <c r="Q630" s="4" t="s">
        <v>50</v>
      </c>
      <c r="R630" s="4" t="s">
        <v>60</v>
      </c>
      <c r="S630" s="4" t="s">
        <v>61</v>
      </c>
      <c r="T630" s="4" t="s">
        <v>61</v>
      </c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4" t="s">
        <v>50</v>
      </c>
      <c r="AS630" s="4" t="s">
        <v>50</v>
      </c>
      <c r="AT630" s="1"/>
      <c r="AU630" s="4" t="s">
        <v>388</v>
      </c>
      <c r="AV630" s="1">
        <v>5750</v>
      </c>
    </row>
    <row r="631" spans="1:48" ht="30" customHeight="1">
      <c r="A631" s="7" t="s">
        <v>557</v>
      </c>
      <c r="B631" s="7" t="s">
        <v>63</v>
      </c>
      <c r="C631" s="7" t="s">
        <v>58</v>
      </c>
      <c r="D631" s="8">
        <v>53</v>
      </c>
      <c r="E631" s="9"/>
      <c r="F631" s="9"/>
      <c r="G631" s="9"/>
      <c r="H631" s="9"/>
      <c r="I631" s="9"/>
      <c r="J631" s="9"/>
      <c r="K631" s="9"/>
      <c r="L631" s="9"/>
      <c r="M631" s="7"/>
      <c r="N631" s="4" t="s">
        <v>66</v>
      </c>
      <c r="O631" s="4" t="s">
        <v>50</v>
      </c>
      <c r="P631" s="4" t="s">
        <v>50</v>
      </c>
      <c r="Q631" s="4" t="s">
        <v>50</v>
      </c>
      <c r="R631" s="4" t="s">
        <v>60</v>
      </c>
      <c r="S631" s="4" t="s">
        <v>61</v>
      </c>
      <c r="T631" s="4" t="s">
        <v>61</v>
      </c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4" t="s">
        <v>50</v>
      </c>
      <c r="AS631" s="4" t="s">
        <v>50</v>
      </c>
      <c r="AT631" s="1"/>
      <c r="AU631" s="4" t="s">
        <v>389</v>
      </c>
      <c r="AV631" s="1">
        <v>5751</v>
      </c>
    </row>
    <row r="632" spans="1:48" ht="30" customHeight="1">
      <c r="A632" s="7" t="s">
        <v>544</v>
      </c>
      <c r="B632" s="7" t="s">
        <v>72</v>
      </c>
      <c r="C632" s="7" t="s">
        <v>73</v>
      </c>
      <c r="D632" s="8">
        <v>2</v>
      </c>
      <c r="E632" s="9"/>
      <c r="F632" s="9"/>
      <c r="G632" s="9"/>
      <c r="H632" s="9"/>
      <c r="I632" s="9"/>
      <c r="J632" s="9"/>
      <c r="K632" s="9"/>
      <c r="L632" s="9"/>
      <c r="M632" s="7"/>
      <c r="N632" s="4" t="s">
        <v>74</v>
      </c>
      <c r="O632" s="4" t="s">
        <v>50</v>
      </c>
      <c r="P632" s="4" t="s">
        <v>50</v>
      </c>
      <c r="Q632" s="4" t="s">
        <v>50</v>
      </c>
      <c r="R632" s="4" t="s">
        <v>60</v>
      </c>
      <c r="S632" s="4" t="s">
        <v>61</v>
      </c>
      <c r="T632" s="4" t="s">
        <v>61</v>
      </c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4" t="s">
        <v>50</v>
      </c>
      <c r="AS632" s="4" t="s">
        <v>50</v>
      </c>
      <c r="AT632" s="1"/>
      <c r="AU632" s="4" t="s">
        <v>390</v>
      </c>
      <c r="AV632" s="1">
        <v>5753</v>
      </c>
    </row>
    <row r="633" spans="1:48" ht="30" customHeight="1">
      <c r="A633" s="7" t="s">
        <v>545</v>
      </c>
      <c r="B633" s="7" t="s">
        <v>76</v>
      </c>
      <c r="C633" s="7" t="s">
        <v>58</v>
      </c>
      <c r="D633" s="8">
        <v>118</v>
      </c>
      <c r="E633" s="9"/>
      <c r="F633" s="9"/>
      <c r="G633" s="9"/>
      <c r="H633" s="9"/>
      <c r="I633" s="9"/>
      <c r="J633" s="9"/>
      <c r="K633" s="9"/>
      <c r="L633" s="9"/>
      <c r="M633" s="7"/>
      <c r="N633" s="4" t="s">
        <v>77</v>
      </c>
      <c r="O633" s="4" t="s">
        <v>50</v>
      </c>
      <c r="P633" s="4" t="s">
        <v>50</v>
      </c>
      <c r="Q633" s="4" t="s">
        <v>50</v>
      </c>
      <c r="R633" s="4" t="s">
        <v>60</v>
      </c>
      <c r="S633" s="4" t="s">
        <v>61</v>
      </c>
      <c r="T633" s="4" t="s">
        <v>61</v>
      </c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4" t="s">
        <v>50</v>
      </c>
      <c r="AS633" s="4" t="s">
        <v>50</v>
      </c>
      <c r="AT633" s="1"/>
      <c r="AU633" s="4" t="s">
        <v>391</v>
      </c>
      <c r="AV633" s="1">
        <v>5754</v>
      </c>
    </row>
    <row r="634" spans="1:48" ht="3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48" ht="3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48" ht="3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48" ht="3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48" ht="3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48" ht="3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48" ht="3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48" ht="3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48" ht="3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48" ht="3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48" ht="3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48" ht="3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48" ht="3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48" ht="3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48" ht="3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48" ht="3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48" ht="30" customHeight="1">
      <c r="A650" s="8" t="s">
        <v>82</v>
      </c>
      <c r="B650" s="8"/>
      <c r="C650" s="8"/>
      <c r="D650" s="8"/>
      <c r="E650" s="8"/>
      <c r="F650" s="9">
        <f>SUM(F629:F649)</f>
        <v>0</v>
      </c>
      <c r="G650" s="8"/>
      <c r="H650" s="9">
        <f>SUM(H629:H649)</f>
        <v>0</v>
      </c>
      <c r="I650" s="8"/>
      <c r="J650" s="9">
        <f>SUM(J629:J649)</f>
        <v>0</v>
      </c>
      <c r="K650" s="8"/>
      <c r="L650" s="9">
        <f>SUM(L629:L649)</f>
        <v>0</v>
      </c>
      <c r="M650" s="8"/>
      <c r="N650" t="s">
        <v>83</v>
      </c>
    </row>
    <row r="651" spans="1:48" ht="30" customHeight="1">
      <c r="A651" s="7" t="s">
        <v>578</v>
      </c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1"/>
      <c r="O651" s="1"/>
      <c r="P651" s="1"/>
      <c r="Q651" s="4" t="s">
        <v>393</v>
      </c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spans="1:48" ht="30" customHeight="1">
      <c r="A652" s="7" t="s">
        <v>569</v>
      </c>
      <c r="B652" s="7" t="s">
        <v>86</v>
      </c>
      <c r="C652" s="7" t="s">
        <v>58</v>
      </c>
      <c r="D652" s="8">
        <v>15</v>
      </c>
      <c r="E652" s="9"/>
      <c r="F652" s="9"/>
      <c r="G652" s="9"/>
      <c r="H652" s="9"/>
      <c r="I652" s="9"/>
      <c r="J652" s="9"/>
      <c r="K652" s="9"/>
      <c r="L652" s="9"/>
      <c r="M652" s="7"/>
      <c r="N652" s="4" t="s">
        <v>288</v>
      </c>
      <c r="O652" s="4" t="s">
        <v>50</v>
      </c>
      <c r="P652" s="4" t="s">
        <v>50</v>
      </c>
      <c r="Q652" s="4" t="s">
        <v>50</v>
      </c>
      <c r="R652" s="4" t="s">
        <v>60</v>
      </c>
      <c r="S652" s="4" t="s">
        <v>61</v>
      </c>
      <c r="T652" s="4" t="s">
        <v>61</v>
      </c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4" t="s">
        <v>50</v>
      </c>
      <c r="AS652" s="4" t="s">
        <v>50</v>
      </c>
      <c r="AT652" s="1"/>
      <c r="AU652" s="4" t="s">
        <v>394</v>
      </c>
      <c r="AV652" s="1">
        <v>5757</v>
      </c>
    </row>
    <row r="653" spans="1:48" ht="30" customHeight="1">
      <c r="A653" s="7" t="s">
        <v>570</v>
      </c>
      <c r="B653" s="7" t="s">
        <v>86</v>
      </c>
      <c r="C653" s="7" t="s">
        <v>58</v>
      </c>
      <c r="D653" s="8">
        <v>54</v>
      </c>
      <c r="E653" s="9"/>
      <c r="F653" s="9"/>
      <c r="G653" s="9"/>
      <c r="H653" s="9"/>
      <c r="I653" s="9"/>
      <c r="J653" s="9"/>
      <c r="K653" s="9"/>
      <c r="L653" s="9"/>
      <c r="M653" s="7"/>
      <c r="N653" s="4" t="s">
        <v>290</v>
      </c>
      <c r="O653" s="4" t="s">
        <v>50</v>
      </c>
      <c r="P653" s="4" t="s">
        <v>50</v>
      </c>
      <c r="Q653" s="4" t="s">
        <v>50</v>
      </c>
      <c r="R653" s="4" t="s">
        <v>60</v>
      </c>
      <c r="S653" s="4" t="s">
        <v>61</v>
      </c>
      <c r="T653" s="4" t="s">
        <v>61</v>
      </c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4" t="s">
        <v>50</v>
      </c>
      <c r="AS653" s="4" t="s">
        <v>50</v>
      </c>
      <c r="AT653" s="1"/>
      <c r="AU653" s="4" t="s">
        <v>395</v>
      </c>
      <c r="AV653" s="1">
        <v>5758</v>
      </c>
    </row>
    <row r="654" spans="1:48" ht="30" customHeight="1">
      <c r="A654" s="7" t="s">
        <v>560</v>
      </c>
      <c r="B654" s="7" t="s">
        <v>89</v>
      </c>
      <c r="C654" s="7" t="s">
        <v>58</v>
      </c>
      <c r="D654" s="8">
        <v>69</v>
      </c>
      <c r="E654" s="9"/>
      <c r="F654" s="9"/>
      <c r="G654" s="9"/>
      <c r="H654" s="9"/>
      <c r="I654" s="9"/>
      <c r="J654" s="9"/>
      <c r="K654" s="9"/>
      <c r="L654" s="9"/>
      <c r="M654" s="7"/>
      <c r="N654" s="4" t="s">
        <v>90</v>
      </c>
      <c r="O654" s="4" t="s">
        <v>50</v>
      </c>
      <c r="P654" s="4" t="s">
        <v>50</v>
      </c>
      <c r="Q654" s="4" t="s">
        <v>50</v>
      </c>
      <c r="R654" s="4" t="s">
        <v>60</v>
      </c>
      <c r="S654" s="4" t="s">
        <v>61</v>
      </c>
      <c r="T654" s="4" t="s">
        <v>61</v>
      </c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4" t="s">
        <v>50</v>
      </c>
      <c r="AS654" s="4" t="s">
        <v>50</v>
      </c>
      <c r="AT654" s="1"/>
      <c r="AU654" s="4" t="s">
        <v>396</v>
      </c>
      <c r="AV654" s="1">
        <v>5759</v>
      </c>
    </row>
    <row r="655" spans="1:48" ht="30" customHeight="1">
      <c r="A655" s="7" t="s">
        <v>571</v>
      </c>
      <c r="B655" s="7" t="s">
        <v>89</v>
      </c>
      <c r="C655" s="7" t="s">
        <v>58</v>
      </c>
      <c r="D655" s="8">
        <v>15</v>
      </c>
      <c r="E655" s="9"/>
      <c r="F655" s="9"/>
      <c r="G655" s="9"/>
      <c r="H655" s="9"/>
      <c r="I655" s="9"/>
      <c r="J655" s="9"/>
      <c r="K655" s="9"/>
      <c r="L655" s="9"/>
      <c r="M655" s="7"/>
      <c r="N655" s="4" t="s">
        <v>293</v>
      </c>
      <c r="O655" s="4" t="s">
        <v>50</v>
      </c>
      <c r="P655" s="4" t="s">
        <v>50</v>
      </c>
      <c r="Q655" s="4" t="s">
        <v>50</v>
      </c>
      <c r="R655" s="4" t="s">
        <v>60</v>
      </c>
      <c r="S655" s="4" t="s">
        <v>61</v>
      </c>
      <c r="T655" s="4" t="s">
        <v>61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4" t="s">
        <v>50</v>
      </c>
      <c r="AS655" s="4" t="s">
        <v>50</v>
      </c>
      <c r="AT655" s="1"/>
      <c r="AU655" s="4" t="s">
        <v>397</v>
      </c>
      <c r="AV655" s="1">
        <v>5760</v>
      </c>
    </row>
    <row r="656" spans="1:48" ht="30" customHeight="1">
      <c r="A656" s="7" t="s">
        <v>572</v>
      </c>
      <c r="B656" s="7" t="s">
        <v>89</v>
      </c>
      <c r="C656" s="7" t="s">
        <v>58</v>
      </c>
      <c r="D656" s="8">
        <v>98</v>
      </c>
      <c r="E656" s="9"/>
      <c r="F656" s="9"/>
      <c r="G656" s="9"/>
      <c r="H656" s="9"/>
      <c r="I656" s="9"/>
      <c r="J656" s="9"/>
      <c r="K656" s="9"/>
      <c r="L656" s="9"/>
      <c r="M656" s="7"/>
      <c r="N656" s="4" t="s">
        <v>295</v>
      </c>
      <c r="O656" s="4" t="s">
        <v>50</v>
      </c>
      <c r="P656" s="4" t="s">
        <v>50</v>
      </c>
      <c r="Q656" s="4" t="s">
        <v>50</v>
      </c>
      <c r="R656" s="4" t="s">
        <v>60</v>
      </c>
      <c r="S656" s="4" t="s">
        <v>61</v>
      </c>
      <c r="T656" s="4" t="s">
        <v>61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4" t="s">
        <v>50</v>
      </c>
      <c r="AS656" s="4" t="s">
        <v>50</v>
      </c>
      <c r="AT656" s="1"/>
      <c r="AU656" s="4" t="s">
        <v>398</v>
      </c>
      <c r="AV656" s="1">
        <v>5761</v>
      </c>
    </row>
    <row r="657" spans="1:48" ht="30" customHeight="1">
      <c r="A657" s="7" t="s">
        <v>598</v>
      </c>
      <c r="B657" s="7" t="s">
        <v>50</v>
      </c>
      <c r="C657" s="7" t="s">
        <v>58</v>
      </c>
      <c r="D657" s="8">
        <v>97</v>
      </c>
      <c r="E657" s="9"/>
      <c r="F657" s="9"/>
      <c r="G657" s="9"/>
      <c r="H657" s="9"/>
      <c r="I657" s="9"/>
      <c r="J657" s="9"/>
      <c r="K657" s="9"/>
      <c r="L657" s="9"/>
      <c r="M657" s="7"/>
      <c r="N657" s="4" t="s">
        <v>297</v>
      </c>
      <c r="O657" s="4" t="s">
        <v>50</v>
      </c>
      <c r="P657" s="4" t="s">
        <v>50</v>
      </c>
      <c r="Q657" s="4" t="s">
        <v>50</v>
      </c>
      <c r="R657" s="4" t="s">
        <v>60</v>
      </c>
      <c r="S657" s="4" t="s">
        <v>61</v>
      </c>
      <c r="T657" s="4" t="s">
        <v>61</v>
      </c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4" t="s">
        <v>50</v>
      </c>
      <c r="AS657" s="4" t="s">
        <v>50</v>
      </c>
      <c r="AT657" s="1"/>
      <c r="AU657" s="4" t="s">
        <v>399</v>
      </c>
      <c r="AV657" s="1">
        <v>5762</v>
      </c>
    </row>
    <row r="658" spans="1:48" ht="30" customHeight="1">
      <c r="A658" s="7" t="s">
        <v>599</v>
      </c>
      <c r="B658" s="7" t="s">
        <v>50</v>
      </c>
      <c r="C658" s="7" t="s">
        <v>58</v>
      </c>
      <c r="D658" s="8">
        <v>47</v>
      </c>
      <c r="E658" s="9"/>
      <c r="F658" s="9"/>
      <c r="G658" s="9"/>
      <c r="H658" s="9"/>
      <c r="I658" s="9"/>
      <c r="J658" s="9"/>
      <c r="K658" s="9"/>
      <c r="L658" s="9"/>
      <c r="M658" s="7"/>
      <c r="N658" s="4" t="s">
        <v>299</v>
      </c>
      <c r="O658" s="4" t="s">
        <v>50</v>
      </c>
      <c r="P658" s="4" t="s">
        <v>50</v>
      </c>
      <c r="Q658" s="4" t="s">
        <v>50</v>
      </c>
      <c r="R658" s="4" t="s">
        <v>60</v>
      </c>
      <c r="S658" s="4" t="s">
        <v>61</v>
      </c>
      <c r="T658" s="4" t="s">
        <v>61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4" t="s">
        <v>50</v>
      </c>
      <c r="AS658" s="4" t="s">
        <v>50</v>
      </c>
      <c r="AT658" s="1"/>
      <c r="AU658" s="4" t="s">
        <v>400</v>
      </c>
      <c r="AV658" s="1">
        <v>5763</v>
      </c>
    </row>
    <row r="659" spans="1:48" ht="30" customHeight="1">
      <c r="A659" s="7" t="s">
        <v>562</v>
      </c>
      <c r="B659" s="7" t="s">
        <v>303</v>
      </c>
      <c r="C659" s="7" t="s">
        <v>69</v>
      </c>
      <c r="D659" s="8">
        <v>1</v>
      </c>
      <c r="E659" s="9"/>
      <c r="F659" s="9"/>
      <c r="G659" s="9"/>
      <c r="H659" s="9"/>
      <c r="I659" s="9"/>
      <c r="J659" s="9"/>
      <c r="K659" s="9"/>
      <c r="L659" s="9"/>
      <c r="M659" s="7"/>
      <c r="N659" s="4" t="s">
        <v>304</v>
      </c>
      <c r="O659" s="4" t="s">
        <v>50</v>
      </c>
      <c r="P659" s="4" t="s">
        <v>50</v>
      </c>
      <c r="Q659" s="4" t="s">
        <v>50</v>
      </c>
      <c r="R659" s="4" t="s">
        <v>60</v>
      </c>
      <c r="S659" s="4" t="s">
        <v>61</v>
      </c>
      <c r="T659" s="4" t="s">
        <v>61</v>
      </c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4" t="s">
        <v>50</v>
      </c>
      <c r="AS659" s="4" t="s">
        <v>50</v>
      </c>
      <c r="AT659" s="1"/>
      <c r="AU659" s="4" t="s">
        <v>401</v>
      </c>
      <c r="AV659" s="1">
        <v>5765</v>
      </c>
    </row>
    <row r="660" spans="1:48" ht="30" customHeight="1">
      <c r="A660" s="7" t="s">
        <v>574</v>
      </c>
      <c r="B660" s="7" t="s">
        <v>306</v>
      </c>
      <c r="C660" s="7" t="s">
        <v>69</v>
      </c>
      <c r="D660" s="8">
        <v>1</v>
      </c>
      <c r="E660" s="9"/>
      <c r="F660" s="9"/>
      <c r="G660" s="9"/>
      <c r="H660" s="9"/>
      <c r="I660" s="9"/>
      <c r="J660" s="9"/>
      <c r="K660" s="9"/>
      <c r="L660" s="9"/>
      <c r="M660" s="7"/>
      <c r="N660" s="4" t="s">
        <v>307</v>
      </c>
      <c r="O660" s="4" t="s">
        <v>50</v>
      </c>
      <c r="P660" s="4" t="s">
        <v>50</v>
      </c>
      <c r="Q660" s="4" t="s">
        <v>50</v>
      </c>
      <c r="R660" s="4" t="s">
        <v>60</v>
      </c>
      <c r="S660" s="4" t="s">
        <v>61</v>
      </c>
      <c r="T660" s="4" t="s">
        <v>61</v>
      </c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4" t="s">
        <v>50</v>
      </c>
      <c r="AS660" s="4" t="s">
        <v>50</v>
      </c>
      <c r="AT660" s="1"/>
      <c r="AU660" s="4" t="s">
        <v>402</v>
      </c>
      <c r="AV660" s="1">
        <v>5766</v>
      </c>
    </row>
    <row r="661" spans="1:48" ht="30" customHeight="1">
      <c r="A661" s="7" t="s">
        <v>106</v>
      </c>
      <c r="B661" s="7" t="s">
        <v>107</v>
      </c>
      <c r="C661" s="7" t="s">
        <v>108</v>
      </c>
      <c r="D661" s="8">
        <v>14.37</v>
      </c>
      <c r="E661" s="9"/>
      <c r="F661" s="9"/>
      <c r="G661" s="9"/>
      <c r="H661" s="9"/>
      <c r="I661" s="9"/>
      <c r="J661" s="9"/>
      <c r="K661" s="9"/>
      <c r="L661" s="9"/>
      <c r="M661" s="7"/>
      <c r="N661" s="4" t="s">
        <v>109</v>
      </c>
      <c r="O661" s="4" t="s">
        <v>50</v>
      </c>
      <c r="P661" s="4" t="s">
        <v>50</v>
      </c>
      <c r="Q661" s="4" t="s">
        <v>50</v>
      </c>
      <c r="R661" s="4" t="s">
        <v>60</v>
      </c>
      <c r="S661" s="4" t="s">
        <v>61</v>
      </c>
      <c r="T661" s="4" t="s">
        <v>61</v>
      </c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4" t="s">
        <v>50</v>
      </c>
      <c r="AS661" s="4" t="s">
        <v>50</v>
      </c>
      <c r="AT661" s="1"/>
      <c r="AU661" s="4" t="s">
        <v>403</v>
      </c>
      <c r="AV661" s="1">
        <v>5767</v>
      </c>
    </row>
    <row r="662" spans="1:48" ht="30" customHeight="1">
      <c r="A662" s="7" t="s">
        <v>111</v>
      </c>
      <c r="B662" s="7" t="s">
        <v>112</v>
      </c>
      <c r="C662" s="7" t="s">
        <v>108</v>
      </c>
      <c r="D662" s="8">
        <v>14.37</v>
      </c>
      <c r="E662" s="9"/>
      <c r="F662" s="9"/>
      <c r="G662" s="9"/>
      <c r="H662" s="9"/>
      <c r="I662" s="9"/>
      <c r="J662" s="9"/>
      <c r="K662" s="9"/>
      <c r="L662" s="9"/>
      <c r="M662" s="7"/>
      <c r="N662" s="4" t="s">
        <v>113</v>
      </c>
      <c r="O662" s="4" t="s">
        <v>50</v>
      </c>
      <c r="P662" s="4" t="s">
        <v>50</v>
      </c>
      <c r="Q662" s="4" t="s">
        <v>50</v>
      </c>
      <c r="R662" s="4" t="s">
        <v>60</v>
      </c>
      <c r="S662" s="4" t="s">
        <v>61</v>
      </c>
      <c r="T662" s="4" t="s">
        <v>61</v>
      </c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4" t="s">
        <v>50</v>
      </c>
      <c r="AS662" s="4" t="s">
        <v>50</v>
      </c>
      <c r="AT662" s="1"/>
      <c r="AU662" s="4" t="s">
        <v>404</v>
      </c>
      <c r="AV662" s="1">
        <v>5768</v>
      </c>
    </row>
    <row r="663" spans="1:48" ht="30" customHeight="1">
      <c r="A663" s="7"/>
      <c r="B663" s="7"/>
      <c r="C663" s="7"/>
      <c r="D663" s="73"/>
      <c r="E663" s="9"/>
      <c r="F663" s="9"/>
      <c r="G663" s="9"/>
      <c r="H663" s="9"/>
      <c r="I663" s="9"/>
      <c r="J663" s="9"/>
      <c r="K663" s="9"/>
      <c r="L663" s="9"/>
      <c r="M663" s="7"/>
      <c r="N663" s="4"/>
      <c r="O663" s="4"/>
      <c r="P663" s="4"/>
      <c r="Q663" s="4"/>
      <c r="R663" s="4"/>
      <c r="S663" s="4"/>
      <c r="T663" s="4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4"/>
      <c r="AS663" s="4"/>
      <c r="AT663" s="1"/>
      <c r="AU663" s="4"/>
      <c r="AV663" s="1"/>
    </row>
    <row r="664" spans="1:48" ht="3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48" ht="3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48" ht="3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48" ht="3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48" ht="3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48" ht="3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48" ht="3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48" ht="3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48" ht="3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48" ht="3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48" ht="30" customHeight="1">
      <c r="A674" s="8" t="s">
        <v>82</v>
      </c>
      <c r="B674" s="8"/>
      <c r="C674" s="8"/>
      <c r="D674" s="8"/>
      <c r="E674" s="8"/>
      <c r="F674" s="9">
        <f>SUM(F652:F673)</f>
        <v>0</v>
      </c>
      <c r="G674" s="8"/>
      <c r="H674" s="9">
        <f>SUM(H652:H673)</f>
        <v>0</v>
      </c>
      <c r="I674" s="8"/>
      <c r="J674" s="9">
        <f>SUM(J652:J673)</f>
        <v>0</v>
      </c>
      <c r="K674" s="8"/>
      <c r="L674" s="9">
        <f>SUM(L652:L673)</f>
        <v>0</v>
      </c>
      <c r="M674" s="8"/>
      <c r="N674" t="s">
        <v>83</v>
      </c>
    </row>
    <row r="675" spans="1:48" ht="30" customHeight="1">
      <c r="A675" s="7" t="s">
        <v>405</v>
      </c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1"/>
      <c r="O675" s="1"/>
      <c r="P675" s="1"/>
      <c r="Q675" s="4" t="s">
        <v>406</v>
      </c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spans="1:48" ht="30" customHeight="1">
      <c r="A676" s="7" t="s">
        <v>313</v>
      </c>
      <c r="B676" s="7" t="s">
        <v>583</v>
      </c>
      <c r="C676" s="7" t="s">
        <v>58</v>
      </c>
      <c r="D676" s="8">
        <v>19</v>
      </c>
      <c r="E676" s="9"/>
      <c r="F676" s="9"/>
      <c r="G676" s="9"/>
      <c r="H676" s="9"/>
      <c r="I676" s="9"/>
      <c r="J676" s="9"/>
      <c r="K676" s="9"/>
      <c r="L676" s="9"/>
      <c r="M676" s="7"/>
      <c r="N676" s="4" t="s">
        <v>314</v>
      </c>
      <c r="O676" s="4" t="s">
        <v>50</v>
      </c>
      <c r="P676" s="4" t="s">
        <v>50</v>
      </c>
      <c r="Q676" s="4" t="s">
        <v>50</v>
      </c>
      <c r="R676" s="4" t="s">
        <v>60</v>
      </c>
      <c r="S676" s="4" t="s">
        <v>61</v>
      </c>
      <c r="T676" s="4" t="s">
        <v>61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4" t="s">
        <v>50</v>
      </c>
      <c r="AS676" s="4" t="s">
        <v>50</v>
      </c>
      <c r="AT676" s="1"/>
      <c r="AU676" s="4" t="s">
        <v>407</v>
      </c>
      <c r="AV676" s="1">
        <v>5770</v>
      </c>
    </row>
    <row r="677" spans="1:48" ht="30" customHeight="1">
      <c r="A677" s="7" t="s">
        <v>313</v>
      </c>
      <c r="B677" s="7" t="s">
        <v>316</v>
      </c>
      <c r="C677" s="7" t="s">
        <v>58</v>
      </c>
      <c r="D677" s="8">
        <v>41</v>
      </c>
      <c r="E677" s="9"/>
      <c r="F677" s="9"/>
      <c r="G677" s="9"/>
      <c r="H677" s="9"/>
      <c r="I677" s="9"/>
      <c r="J677" s="9"/>
      <c r="K677" s="9"/>
      <c r="L677" s="9"/>
      <c r="M677" s="7"/>
      <c r="N677" s="4" t="s">
        <v>317</v>
      </c>
      <c r="O677" s="4" t="s">
        <v>50</v>
      </c>
      <c r="P677" s="4" t="s">
        <v>50</v>
      </c>
      <c r="Q677" s="4" t="s">
        <v>50</v>
      </c>
      <c r="R677" s="4" t="s">
        <v>60</v>
      </c>
      <c r="S677" s="4" t="s">
        <v>61</v>
      </c>
      <c r="T677" s="4" t="s">
        <v>61</v>
      </c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4" t="s">
        <v>50</v>
      </c>
      <c r="AS677" s="4" t="s">
        <v>50</v>
      </c>
      <c r="AT677" s="1"/>
      <c r="AU677" s="4" t="s">
        <v>408</v>
      </c>
      <c r="AV677" s="1">
        <v>5771</v>
      </c>
    </row>
    <row r="678" spans="1:48" ht="30" customHeight="1">
      <c r="A678" s="7" t="s">
        <v>548</v>
      </c>
      <c r="B678" s="7" t="s">
        <v>319</v>
      </c>
      <c r="C678" s="7" t="s">
        <v>58</v>
      </c>
      <c r="D678" s="8">
        <v>26</v>
      </c>
      <c r="E678" s="9"/>
      <c r="F678" s="9"/>
      <c r="G678" s="9"/>
      <c r="H678" s="9"/>
      <c r="I678" s="9"/>
      <c r="J678" s="9"/>
      <c r="K678" s="9"/>
      <c r="L678" s="9"/>
      <c r="M678" s="7"/>
      <c r="N678" s="4" t="s">
        <v>320</v>
      </c>
      <c r="O678" s="4" t="s">
        <v>50</v>
      </c>
      <c r="P678" s="4" t="s">
        <v>50</v>
      </c>
      <c r="Q678" s="4" t="s">
        <v>50</v>
      </c>
      <c r="R678" s="4" t="s">
        <v>60</v>
      </c>
      <c r="S678" s="4" t="s">
        <v>61</v>
      </c>
      <c r="T678" s="4" t="s">
        <v>61</v>
      </c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4" t="s">
        <v>50</v>
      </c>
      <c r="AS678" s="4" t="s">
        <v>50</v>
      </c>
      <c r="AT678" s="1"/>
      <c r="AU678" s="4" t="s">
        <v>409</v>
      </c>
      <c r="AV678" s="1">
        <v>5772</v>
      </c>
    </row>
    <row r="679" spans="1:48" ht="3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48" ht="3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48" ht="3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48" ht="3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48" ht="3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48" ht="3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48" ht="3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48" ht="3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48" ht="3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48" ht="3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48" ht="3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48" ht="3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48" ht="3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48" ht="3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48" ht="3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48" ht="3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48" ht="3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48" ht="3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48" ht="3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48" ht="30" customHeight="1">
      <c r="A698" s="8" t="s">
        <v>82</v>
      </c>
      <c r="B698" s="8"/>
      <c r="C698" s="8"/>
      <c r="D698" s="8"/>
      <c r="E698" s="8"/>
      <c r="F698" s="9">
        <f>SUM(F676:F697)</f>
        <v>0</v>
      </c>
      <c r="G698" s="8"/>
      <c r="H698" s="9">
        <f>SUM(H676:H697)</f>
        <v>0</v>
      </c>
      <c r="I698" s="8"/>
      <c r="J698" s="9">
        <f>SUM(J676:J697)</f>
        <v>0</v>
      </c>
      <c r="K698" s="8"/>
      <c r="L698" s="9">
        <f>SUM(L676:L697)</f>
        <v>0</v>
      </c>
      <c r="M698" s="8"/>
      <c r="N698" t="s">
        <v>83</v>
      </c>
    </row>
    <row r="699" spans="1:48" ht="30" customHeight="1">
      <c r="A699" s="7" t="s">
        <v>579</v>
      </c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1"/>
      <c r="O699" s="1"/>
      <c r="P699" s="1"/>
      <c r="Q699" s="4" t="s">
        <v>411</v>
      </c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spans="1:48" ht="30" customHeight="1">
      <c r="A700" s="7" t="s">
        <v>152</v>
      </c>
      <c r="B700" s="7" t="s">
        <v>324</v>
      </c>
      <c r="C700" s="7" t="s">
        <v>140</v>
      </c>
      <c r="D700" s="8">
        <v>139</v>
      </c>
      <c r="E700" s="9"/>
      <c r="F700" s="9"/>
      <c r="G700" s="9"/>
      <c r="H700" s="9"/>
      <c r="I700" s="9"/>
      <c r="J700" s="9"/>
      <c r="K700" s="9"/>
      <c r="L700" s="9"/>
      <c r="M700" s="7" t="s">
        <v>50</v>
      </c>
      <c r="N700" s="4" t="s">
        <v>325</v>
      </c>
      <c r="O700" s="4" t="s">
        <v>50</v>
      </c>
      <c r="P700" s="4" t="s">
        <v>50</v>
      </c>
      <c r="Q700" s="4" t="s">
        <v>50</v>
      </c>
      <c r="R700" s="4" t="s">
        <v>61</v>
      </c>
      <c r="S700" s="4" t="s">
        <v>61</v>
      </c>
      <c r="T700" s="4" t="s">
        <v>60</v>
      </c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4" t="s">
        <v>50</v>
      </c>
      <c r="AS700" s="4" t="s">
        <v>50</v>
      </c>
      <c r="AT700" s="1"/>
      <c r="AU700" s="4" t="s">
        <v>412</v>
      </c>
      <c r="AV700" s="1">
        <v>5774</v>
      </c>
    </row>
    <row r="701" spans="1:48" ht="30" customHeight="1">
      <c r="A701" s="7" t="s">
        <v>152</v>
      </c>
      <c r="B701" s="7" t="s">
        <v>153</v>
      </c>
      <c r="C701" s="7" t="s">
        <v>140</v>
      </c>
      <c r="D701" s="8">
        <v>61</v>
      </c>
      <c r="E701" s="9"/>
      <c r="F701" s="9"/>
      <c r="G701" s="9"/>
      <c r="H701" s="9"/>
      <c r="I701" s="9"/>
      <c r="J701" s="9"/>
      <c r="K701" s="9"/>
      <c r="L701" s="9"/>
      <c r="M701" s="7" t="s">
        <v>50</v>
      </c>
      <c r="N701" s="4" t="s">
        <v>154</v>
      </c>
      <c r="O701" s="4" t="s">
        <v>50</v>
      </c>
      <c r="P701" s="4" t="s">
        <v>50</v>
      </c>
      <c r="Q701" s="4" t="s">
        <v>50</v>
      </c>
      <c r="R701" s="4" t="s">
        <v>61</v>
      </c>
      <c r="S701" s="4" t="s">
        <v>61</v>
      </c>
      <c r="T701" s="4" t="s">
        <v>60</v>
      </c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4" t="s">
        <v>50</v>
      </c>
      <c r="AS701" s="4" t="s">
        <v>50</v>
      </c>
      <c r="AT701" s="1"/>
      <c r="AU701" s="4" t="s">
        <v>413</v>
      </c>
      <c r="AV701" s="1">
        <v>5775</v>
      </c>
    </row>
    <row r="702" spans="1:48" ht="30" customHeight="1">
      <c r="A702" s="7" t="s">
        <v>328</v>
      </c>
      <c r="B702" s="7" t="s">
        <v>157</v>
      </c>
      <c r="C702" s="7" t="s">
        <v>158</v>
      </c>
      <c r="D702" s="8">
        <v>701</v>
      </c>
      <c r="E702" s="9"/>
      <c r="F702" s="9"/>
      <c r="G702" s="9"/>
      <c r="H702" s="9"/>
      <c r="I702" s="9"/>
      <c r="J702" s="9"/>
      <c r="K702" s="9"/>
      <c r="L702" s="9"/>
      <c r="M702" s="7" t="s">
        <v>50</v>
      </c>
      <c r="N702" s="4" t="s">
        <v>329</v>
      </c>
      <c r="O702" s="4" t="s">
        <v>50</v>
      </c>
      <c r="P702" s="4" t="s">
        <v>50</v>
      </c>
      <c r="Q702" s="4" t="s">
        <v>50</v>
      </c>
      <c r="R702" s="4" t="s">
        <v>61</v>
      </c>
      <c r="S702" s="4" t="s">
        <v>61</v>
      </c>
      <c r="T702" s="4" t="s">
        <v>60</v>
      </c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4" t="s">
        <v>50</v>
      </c>
      <c r="AS702" s="4" t="s">
        <v>50</v>
      </c>
      <c r="AT702" s="1"/>
      <c r="AU702" s="4" t="s">
        <v>414</v>
      </c>
      <c r="AV702" s="1">
        <v>5776</v>
      </c>
    </row>
    <row r="703" spans="1:48" ht="30" customHeight="1">
      <c r="A703" s="7" t="s">
        <v>161</v>
      </c>
      <c r="B703" s="7" t="s">
        <v>162</v>
      </c>
      <c r="C703" s="7" t="s">
        <v>108</v>
      </c>
      <c r="D703" s="8">
        <v>0.55000000000000004</v>
      </c>
      <c r="E703" s="9"/>
      <c r="F703" s="9"/>
      <c r="G703" s="9"/>
      <c r="H703" s="9"/>
      <c r="I703" s="9"/>
      <c r="J703" s="9"/>
      <c r="K703" s="9"/>
      <c r="L703" s="9"/>
      <c r="M703" s="7"/>
      <c r="N703" s="4" t="s">
        <v>163</v>
      </c>
      <c r="O703" s="4" t="s">
        <v>50</v>
      </c>
      <c r="P703" s="4" t="s">
        <v>50</v>
      </c>
      <c r="Q703" s="4" t="s">
        <v>50</v>
      </c>
      <c r="R703" s="4" t="s">
        <v>60</v>
      </c>
      <c r="S703" s="4" t="s">
        <v>61</v>
      </c>
      <c r="T703" s="4" t="s">
        <v>61</v>
      </c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4" t="s">
        <v>50</v>
      </c>
      <c r="AS703" s="4" t="s">
        <v>50</v>
      </c>
      <c r="AT703" s="1"/>
      <c r="AU703" s="4" t="s">
        <v>415</v>
      </c>
      <c r="AV703" s="1">
        <v>5777</v>
      </c>
    </row>
    <row r="704" spans="1:48" ht="30" customHeight="1">
      <c r="A704" s="7" t="s">
        <v>165</v>
      </c>
      <c r="B704" s="7" t="s">
        <v>166</v>
      </c>
      <c r="C704" s="7" t="s">
        <v>167</v>
      </c>
      <c r="D704" s="8">
        <v>636</v>
      </c>
      <c r="E704" s="9"/>
      <c r="F704" s="9"/>
      <c r="G704" s="9"/>
      <c r="H704" s="9"/>
      <c r="I704" s="9"/>
      <c r="J704" s="9"/>
      <c r="K704" s="9"/>
      <c r="L704" s="9"/>
      <c r="M704" s="7"/>
      <c r="N704" s="4" t="s">
        <v>168</v>
      </c>
      <c r="O704" s="4" t="s">
        <v>50</v>
      </c>
      <c r="P704" s="4" t="s">
        <v>50</v>
      </c>
      <c r="Q704" s="4" t="s">
        <v>50</v>
      </c>
      <c r="R704" s="4" t="s">
        <v>60</v>
      </c>
      <c r="S704" s="4" t="s">
        <v>61</v>
      </c>
      <c r="T704" s="4" t="s">
        <v>61</v>
      </c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4" t="s">
        <v>50</v>
      </c>
      <c r="AS704" s="4" t="s">
        <v>50</v>
      </c>
      <c r="AT704" s="1"/>
      <c r="AU704" s="4" t="s">
        <v>416</v>
      </c>
      <c r="AV704" s="1">
        <v>5778</v>
      </c>
    </row>
    <row r="705" spans="1:48" ht="30" customHeight="1">
      <c r="A705" s="7" t="s">
        <v>170</v>
      </c>
      <c r="B705" s="7" t="s">
        <v>171</v>
      </c>
      <c r="C705" s="7" t="s">
        <v>140</v>
      </c>
      <c r="D705" s="8">
        <v>2</v>
      </c>
      <c r="E705" s="9"/>
      <c r="F705" s="9"/>
      <c r="G705" s="9"/>
      <c r="H705" s="9"/>
      <c r="I705" s="9"/>
      <c r="J705" s="9"/>
      <c r="K705" s="9"/>
      <c r="L705" s="9"/>
      <c r="M705" s="7"/>
      <c r="N705" s="4" t="s">
        <v>172</v>
      </c>
      <c r="O705" s="4" t="s">
        <v>50</v>
      </c>
      <c r="P705" s="4" t="s">
        <v>50</v>
      </c>
      <c r="Q705" s="4" t="s">
        <v>50</v>
      </c>
      <c r="R705" s="4" t="s">
        <v>60</v>
      </c>
      <c r="S705" s="4" t="s">
        <v>61</v>
      </c>
      <c r="T705" s="4" t="s">
        <v>61</v>
      </c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4" t="s">
        <v>50</v>
      </c>
      <c r="AS705" s="4" t="s">
        <v>50</v>
      </c>
      <c r="AT705" s="1"/>
      <c r="AU705" s="4" t="s">
        <v>417</v>
      </c>
      <c r="AV705" s="1">
        <v>5779</v>
      </c>
    </row>
    <row r="706" spans="1:48" ht="30" customHeight="1">
      <c r="A706" s="7" t="s">
        <v>334</v>
      </c>
      <c r="B706" s="7" t="s">
        <v>335</v>
      </c>
      <c r="C706" s="7" t="s">
        <v>145</v>
      </c>
      <c r="D706" s="8">
        <v>1</v>
      </c>
      <c r="E706" s="9"/>
      <c r="F706" s="9"/>
      <c r="G706" s="9"/>
      <c r="H706" s="9"/>
      <c r="I706" s="9"/>
      <c r="J706" s="9"/>
      <c r="K706" s="9"/>
      <c r="L706" s="9"/>
      <c r="M706" s="7"/>
      <c r="N706" s="4" t="s">
        <v>336</v>
      </c>
      <c r="O706" s="4" t="s">
        <v>50</v>
      </c>
      <c r="P706" s="4" t="s">
        <v>50</v>
      </c>
      <c r="Q706" s="4" t="s">
        <v>50</v>
      </c>
      <c r="R706" s="4" t="s">
        <v>60</v>
      </c>
      <c r="S706" s="4" t="s">
        <v>61</v>
      </c>
      <c r="T706" s="4" t="s">
        <v>61</v>
      </c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4" t="s">
        <v>50</v>
      </c>
      <c r="AS706" s="4" t="s">
        <v>50</v>
      </c>
      <c r="AT706" s="1"/>
      <c r="AU706" s="4" t="s">
        <v>418</v>
      </c>
      <c r="AV706" s="1">
        <v>5780</v>
      </c>
    </row>
    <row r="707" spans="1:48" ht="3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48" ht="3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48" ht="3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48" ht="3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48" ht="3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48" ht="3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48" ht="3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48" ht="3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48" ht="3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48" ht="3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 spans="1:48" ht="3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 spans="1:48" ht="3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 spans="1:48" ht="3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 spans="1:48" ht="3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 spans="1:48" ht="3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 spans="1:48" ht="30" customHeight="1">
      <c r="A722" s="8" t="s">
        <v>82</v>
      </c>
      <c r="B722" s="8"/>
      <c r="C722" s="8"/>
      <c r="D722" s="8"/>
      <c r="E722" s="8"/>
      <c r="F722" s="9">
        <f>SUM(F700:F721)</f>
        <v>0</v>
      </c>
      <c r="G722" s="8"/>
      <c r="H722" s="9">
        <f>SUM(H700:H721)</f>
        <v>0</v>
      </c>
      <c r="I722" s="8"/>
      <c r="J722" s="9">
        <f>SUM(J700:J721)</f>
        <v>0</v>
      </c>
      <c r="K722" s="8"/>
      <c r="L722" s="9">
        <f>SUM(L700:L721)</f>
        <v>0</v>
      </c>
      <c r="M722" s="8"/>
      <c r="N722" t="s">
        <v>83</v>
      </c>
    </row>
    <row r="723" spans="1:48" ht="30" customHeight="1">
      <c r="A723" s="7" t="s">
        <v>419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1"/>
      <c r="O723" s="1"/>
      <c r="P723" s="1"/>
      <c r="Q723" s="4" t="s">
        <v>420</v>
      </c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spans="1:48" ht="30" customHeight="1">
      <c r="A724" s="7" t="s">
        <v>181</v>
      </c>
      <c r="B724" s="7" t="s">
        <v>182</v>
      </c>
      <c r="C724" s="7" t="s">
        <v>58</v>
      </c>
      <c r="D724" s="8">
        <v>34</v>
      </c>
      <c r="E724" s="9"/>
      <c r="F724" s="9"/>
      <c r="G724" s="9"/>
      <c r="H724" s="9"/>
      <c r="I724" s="9"/>
      <c r="J724" s="9"/>
      <c r="K724" s="9"/>
      <c r="L724" s="9"/>
      <c r="M724" s="7"/>
      <c r="N724" s="4" t="s">
        <v>183</v>
      </c>
      <c r="O724" s="4" t="s">
        <v>50</v>
      </c>
      <c r="P724" s="4" t="s">
        <v>50</v>
      </c>
      <c r="Q724" s="4" t="s">
        <v>50</v>
      </c>
      <c r="R724" s="4" t="s">
        <v>60</v>
      </c>
      <c r="S724" s="4" t="s">
        <v>61</v>
      </c>
      <c r="T724" s="4" t="s">
        <v>61</v>
      </c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4" t="s">
        <v>50</v>
      </c>
      <c r="AS724" s="4" t="s">
        <v>50</v>
      </c>
      <c r="AT724" s="1"/>
      <c r="AU724" s="4" t="s">
        <v>421</v>
      </c>
      <c r="AV724" s="1">
        <v>5782</v>
      </c>
    </row>
    <row r="725" spans="1:48" ht="30" customHeight="1">
      <c r="A725" s="7" t="s">
        <v>341</v>
      </c>
      <c r="B725" s="7" t="s">
        <v>342</v>
      </c>
      <c r="C725" s="7" t="s">
        <v>58</v>
      </c>
      <c r="D725" s="8">
        <v>53</v>
      </c>
      <c r="E725" s="9"/>
      <c r="F725" s="9"/>
      <c r="G725" s="9"/>
      <c r="H725" s="9"/>
      <c r="I725" s="9"/>
      <c r="J725" s="9"/>
      <c r="K725" s="9"/>
      <c r="L725" s="9"/>
      <c r="M725" s="7"/>
      <c r="N725" s="4" t="s">
        <v>343</v>
      </c>
      <c r="O725" s="4" t="s">
        <v>50</v>
      </c>
      <c r="P725" s="4" t="s">
        <v>50</v>
      </c>
      <c r="Q725" s="4" t="s">
        <v>50</v>
      </c>
      <c r="R725" s="4" t="s">
        <v>60</v>
      </c>
      <c r="S725" s="4" t="s">
        <v>61</v>
      </c>
      <c r="T725" s="4" t="s">
        <v>61</v>
      </c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4" t="s">
        <v>50</v>
      </c>
      <c r="AS725" s="4" t="s">
        <v>50</v>
      </c>
      <c r="AT725" s="1"/>
      <c r="AU725" s="4" t="s">
        <v>422</v>
      </c>
      <c r="AV725" s="1">
        <v>5783</v>
      </c>
    </row>
    <row r="726" spans="1:48" ht="30" customHeight="1">
      <c r="A726" s="7" t="s">
        <v>185</v>
      </c>
      <c r="B726" s="7" t="s">
        <v>186</v>
      </c>
      <c r="C726" s="7" t="s">
        <v>58</v>
      </c>
      <c r="D726" s="8">
        <v>19</v>
      </c>
      <c r="E726" s="9"/>
      <c r="F726" s="9"/>
      <c r="G726" s="9"/>
      <c r="H726" s="9"/>
      <c r="I726" s="9"/>
      <c r="J726" s="9"/>
      <c r="K726" s="9"/>
      <c r="L726" s="9"/>
      <c r="M726" s="7"/>
      <c r="N726" s="4" t="s">
        <v>187</v>
      </c>
      <c r="O726" s="4" t="s">
        <v>50</v>
      </c>
      <c r="P726" s="4" t="s">
        <v>50</v>
      </c>
      <c r="Q726" s="4" t="s">
        <v>50</v>
      </c>
      <c r="R726" s="4" t="s">
        <v>60</v>
      </c>
      <c r="S726" s="4" t="s">
        <v>61</v>
      </c>
      <c r="T726" s="4" t="s">
        <v>61</v>
      </c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4" t="s">
        <v>50</v>
      </c>
      <c r="AS726" s="4" t="s">
        <v>50</v>
      </c>
      <c r="AT726" s="1"/>
      <c r="AU726" s="4" t="s">
        <v>423</v>
      </c>
      <c r="AV726" s="1">
        <v>5784</v>
      </c>
    </row>
    <row r="727" spans="1:48" ht="3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 spans="1:48" ht="3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 spans="1:48" ht="3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 spans="1:48" ht="3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 spans="1:48" ht="3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spans="1:48" ht="3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 spans="1:48" ht="3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 spans="1:48" ht="3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 spans="1:48" ht="3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 spans="1:48" ht="3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 spans="1:48" ht="3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 spans="1:48" ht="3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 spans="1:48" ht="3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 spans="1:48" ht="3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 spans="1:48" ht="3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 spans="1:48" ht="3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 spans="1:48" ht="3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 spans="1:48" ht="3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 spans="1:48" ht="3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 spans="1:48" ht="30" customHeight="1">
      <c r="A746" s="8" t="s">
        <v>82</v>
      </c>
      <c r="B746" s="8"/>
      <c r="C746" s="8"/>
      <c r="D746" s="8"/>
      <c r="E746" s="8"/>
      <c r="F746" s="9">
        <f>SUM(F724:F745)</f>
        <v>0</v>
      </c>
      <c r="G746" s="8"/>
      <c r="H746" s="9">
        <f>SUM(H724:H745)</f>
        <v>0</v>
      </c>
      <c r="I746" s="8"/>
      <c r="J746" s="9">
        <f>SUM(J724:J745)</f>
        <v>0</v>
      </c>
      <c r="K746" s="8"/>
      <c r="L746" s="9">
        <f>SUM(L724:L745)</f>
        <v>0</v>
      </c>
      <c r="M746" s="8"/>
      <c r="N746" t="s">
        <v>83</v>
      </c>
    </row>
    <row r="747" spans="1:48" ht="30" customHeight="1">
      <c r="A747" s="7" t="s">
        <v>424</v>
      </c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1"/>
      <c r="O747" s="1"/>
      <c r="P747" s="1"/>
      <c r="Q747" s="4" t="s">
        <v>425</v>
      </c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spans="1:48" ht="30" customHeight="1">
      <c r="A748" s="7" t="s">
        <v>354</v>
      </c>
      <c r="B748" s="7" t="s">
        <v>582</v>
      </c>
      <c r="C748" s="7" t="s">
        <v>69</v>
      </c>
      <c r="D748" s="8">
        <v>1</v>
      </c>
      <c r="E748" s="9"/>
      <c r="F748" s="9"/>
      <c r="G748" s="9"/>
      <c r="H748" s="9"/>
      <c r="I748" s="9"/>
      <c r="J748" s="9"/>
      <c r="K748" s="9"/>
      <c r="L748" s="9"/>
      <c r="M748" s="7" t="s">
        <v>50</v>
      </c>
      <c r="N748" s="4" t="s">
        <v>355</v>
      </c>
      <c r="O748" s="4" t="s">
        <v>50</v>
      </c>
      <c r="P748" s="4" t="s">
        <v>50</v>
      </c>
      <c r="Q748" s="4" t="s">
        <v>50</v>
      </c>
      <c r="R748" s="4" t="s">
        <v>61</v>
      </c>
      <c r="S748" s="4" t="s">
        <v>61</v>
      </c>
      <c r="T748" s="4" t="s">
        <v>60</v>
      </c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4" t="s">
        <v>50</v>
      </c>
      <c r="AS748" s="4" t="s">
        <v>50</v>
      </c>
      <c r="AT748" s="1"/>
      <c r="AU748" s="4" t="s">
        <v>426</v>
      </c>
      <c r="AV748" s="1">
        <v>5788</v>
      </c>
    </row>
    <row r="749" spans="1:48" ht="30" customHeight="1">
      <c r="A749" s="7" t="s">
        <v>581</v>
      </c>
      <c r="B749" s="7"/>
      <c r="C749" s="7" t="s">
        <v>69</v>
      </c>
      <c r="D749" s="73">
        <v>1</v>
      </c>
      <c r="E749" s="9"/>
      <c r="F749" s="9"/>
      <c r="G749" s="9"/>
      <c r="H749" s="9"/>
      <c r="I749" s="9"/>
      <c r="J749" s="9"/>
      <c r="K749" s="9"/>
      <c r="L749" s="9"/>
      <c r="M749" s="8"/>
    </row>
    <row r="750" spans="1:48" ht="3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 spans="1:48" ht="3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 spans="1:48" ht="3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 spans="1:13" ht="3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 spans="1:13" ht="3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 spans="1:13" ht="3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 spans="1:13" ht="3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 spans="1:13" ht="3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 spans="1:13" ht="3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 spans="1:13" ht="3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 spans="1:13" ht="3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 spans="1:13" ht="3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 spans="1:13" ht="3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 spans="1:13" ht="3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 spans="1:13" ht="3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 spans="1:13" ht="3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 spans="1:13" ht="3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 spans="1:13" ht="3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 spans="1:13" ht="3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 spans="1:48" ht="3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 spans="1:48" ht="30" customHeight="1">
      <c r="A770" s="8" t="s">
        <v>82</v>
      </c>
      <c r="B770" s="8"/>
      <c r="C770" s="8"/>
      <c r="D770" s="8"/>
      <c r="E770" s="8"/>
      <c r="F770" s="9">
        <f>SUM(F748:F769)</f>
        <v>0</v>
      </c>
      <c r="G770" s="8"/>
      <c r="H770" s="9">
        <f>SUM(H748:H769)</f>
        <v>0</v>
      </c>
      <c r="I770" s="8"/>
      <c r="J770" s="9">
        <f>SUM(J748:J769)</f>
        <v>0</v>
      </c>
      <c r="K770" s="8"/>
      <c r="L770" s="9">
        <f>SUM(L748:L769)</f>
        <v>0</v>
      </c>
      <c r="M770" s="8"/>
      <c r="N770" t="s">
        <v>83</v>
      </c>
    </row>
    <row r="771" spans="1:48" ht="30" customHeight="1">
      <c r="A771" s="7" t="s">
        <v>427</v>
      </c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1"/>
      <c r="O771" s="1"/>
      <c r="P771" s="1"/>
      <c r="Q771" s="4" t="s">
        <v>428</v>
      </c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spans="1:48" ht="30" customHeight="1">
      <c r="A772" s="7" t="s">
        <v>359</v>
      </c>
      <c r="B772" s="7" t="s">
        <v>360</v>
      </c>
      <c r="C772" s="7" t="s">
        <v>58</v>
      </c>
      <c r="D772" s="8">
        <v>12</v>
      </c>
      <c r="E772" s="9"/>
      <c r="F772" s="9"/>
      <c r="G772" s="9"/>
      <c r="H772" s="9"/>
      <c r="I772" s="9"/>
      <c r="J772" s="9"/>
      <c r="K772" s="9"/>
      <c r="L772" s="9"/>
      <c r="M772" s="7" t="s">
        <v>50</v>
      </c>
      <c r="N772" s="4" t="s">
        <v>361</v>
      </c>
      <c r="O772" s="4" t="s">
        <v>50</v>
      </c>
      <c r="P772" s="4" t="s">
        <v>50</v>
      </c>
      <c r="Q772" s="4" t="s">
        <v>50</v>
      </c>
      <c r="R772" s="4" t="s">
        <v>61</v>
      </c>
      <c r="S772" s="4" t="s">
        <v>61</v>
      </c>
      <c r="T772" s="4" t="s">
        <v>60</v>
      </c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4" t="s">
        <v>50</v>
      </c>
      <c r="AS772" s="4" t="s">
        <v>50</v>
      </c>
      <c r="AT772" s="1"/>
      <c r="AU772" s="4" t="s">
        <v>429</v>
      </c>
      <c r="AV772" s="1">
        <v>5790</v>
      </c>
    </row>
    <row r="773" spans="1:48" ht="30" customHeight="1">
      <c r="A773" s="7" t="s">
        <v>363</v>
      </c>
      <c r="B773" s="7" t="s">
        <v>364</v>
      </c>
      <c r="C773" s="7" t="s">
        <v>58</v>
      </c>
      <c r="D773" s="8">
        <v>14</v>
      </c>
      <c r="E773" s="9"/>
      <c r="F773" s="9"/>
      <c r="G773" s="9"/>
      <c r="H773" s="9"/>
      <c r="I773" s="9"/>
      <c r="J773" s="9"/>
      <c r="K773" s="9"/>
      <c r="L773" s="9"/>
      <c r="M773" s="7" t="s">
        <v>50</v>
      </c>
      <c r="N773" s="4" t="s">
        <v>365</v>
      </c>
      <c r="O773" s="4" t="s">
        <v>50</v>
      </c>
      <c r="P773" s="4" t="s">
        <v>50</v>
      </c>
      <c r="Q773" s="4" t="s">
        <v>50</v>
      </c>
      <c r="R773" s="4" t="s">
        <v>61</v>
      </c>
      <c r="S773" s="4" t="s">
        <v>61</v>
      </c>
      <c r="T773" s="4" t="s">
        <v>60</v>
      </c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4" t="s">
        <v>50</v>
      </c>
      <c r="AS773" s="4" t="s">
        <v>50</v>
      </c>
      <c r="AT773" s="1"/>
      <c r="AU773" s="4" t="s">
        <v>430</v>
      </c>
      <c r="AV773" s="1">
        <v>5791</v>
      </c>
    </row>
    <row r="774" spans="1:48" ht="30" customHeight="1">
      <c r="A774" s="7" t="s">
        <v>549</v>
      </c>
      <c r="B774" s="7" t="s">
        <v>367</v>
      </c>
      <c r="C774" s="7" t="s">
        <v>58</v>
      </c>
      <c r="D774" s="8">
        <v>12</v>
      </c>
      <c r="E774" s="9"/>
      <c r="F774" s="9"/>
      <c r="G774" s="9"/>
      <c r="H774" s="9"/>
      <c r="I774" s="9"/>
      <c r="J774" s="9"/>
      <c r="K774" s="9"/>
      <c r="L774" s="9"/>
      <c r="M774" s="7"/>
      <c r="N774" s="4" t="s">
        <v>368</v>
      </c>
      <c r="O774" s="4" t="s">
        <v>50</v>
      </c>
      <c r="P774" s="4" t="s">
        <v>50</v>
      </c>
      <c r="Q774" s="4" t="s">
        <v>50</v>
      </c>
      <c r="R774" s="4" t="s">
        <v>60</v>
      </c>
      <c r="S774" s="4" t="s">
        <v>61</v>
      </c>
      <c r="T774" s="4" t="s">
        <v>61</v>
      </c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4" t="s">
        <v>50</v>
      </c>
      <c r="AS774" s="4" t="s">
        <v>50</v>
      </c>
      <c r="AT774" s="1"/>
      <c r="AU774" s="4" t="s">
        <v>431</v>
      </c>
      <c r="AV774" s="1">
        <v>5792</v>
      </c>
    </row>
    <row r="775" spans="1:48" ht="30" customHeight="1">
      <c r="A775" s="7" t="s">
        <v>549</v>
      </c>
      <c r="B775" s="7" t="s">
        <v>370</v>
      </c>
      <c r="C775" s="7" t="s">
        <v>58</v>
      </c>
      <c r="D775" s="8">
        <v>14</v>
      </c>
      <c r="E775" s="9"/>
      <c r="F775" s="9"/>
      <c r="G775" s="9"/>
      <c r="H775" s="9"/>
      <c r="I775" s="9"/>
      <c r="J775" s="9"/>
      <c r="K775" s="9"/>
      <c r="L775" s="9"/>
      <c r="M775" s="7"/>
      <c r="N775" s="4" t="s">
        <v>371</v>
      </c>
      <c r="O775" s="4" t="s">
        <v>50</v>
      </c>
      <c r="P775" s="4" t="s">
        <v>50</v>
      </c>
      <c r="Q775" s="4" t="s">
        <v>50</v>
      </c>
      <c r="R775" s="4" t="s">
        <v>60</v>
      </c>
      <c r="S775" s="4" t="s">
        <v>61</v>
      </c>
      <c r="T775" s="4" t="s">
        <v>61</v>
      </c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4" t="s">
        <v>50</v>
      </c>
      <c r="AS775" s="4" t="s">
        <v>50</v>
      </c>
      <c r="AT775" s="1"/>
      <c r="AU775" s="4" t="s">
        <v>432</v>
      </c>
      <c r="AV775" s="1">
        <v>5793</v>
      </c>
    </row>
    <row r="776" spans="1:48" ht="30" customHeight="1">
      <c r="A776" s="7" t="s">
        <v>373</v>
      </c>
      <c r="B776" s="7" t="s">
        <v>374</v>
      </c>
      <c r="C776" s="7" t="s">
        <v>140</v>
      </c>
      <c r="D776" s="8">
        <v>120</v>
      </c>
      <c r="E776" s="9"/>
      <c r="F776" s="9"/>
      <c r="G776" s="9"/>
      <c r="H776" s="9"/>
      <c r="I776" s="9"/>
      <c r="J776" s="9"/>
      <c r="K776" s="9"/>
      <c r="L776" s="9"/>
      <c r="M776" s="7"/>
      <c r="N776" s="4" t="s">
        <v>375</v>
      </c>
      <c r="O776" s="4" t="s">
        <v>50</v>
      </c>
      <c r="P776" s="4" t="s">
        <v>50</v>
      </c>
      <c r="Q776" s="4" t="s">
        <v>50</v>
      </c>
      <c r="R776" s="4" t="s">
        <v>60</v>
      </c>
      <c r="S776" s="4" t="s">
        <v>61</v>
      </c>
      <c r="T776" s="4" t="s">
        <v>61</v>
      </c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4" t="s">
        <v>50</v>
      </c>
      <c r="AS776" s="4" t="s">
        <v>50</v>
      </c>
      <c r="AT776" s="1"/>
      <c r="AU776" s="4" t="s">
        <v>433</v>
      </c>
      <c r="AV776" s="1">
        <v>5794</v>
      </c>
    </row>
    <row r="777" spans="1:48" ht="30" customHeight="1">
      <c r="A777" s="7" t="s">
        <v>377</v>
      </c>
      <c r="B777" s="7" t="s">
        <v>374</v>
      </c>
      <c r="C777" s="7" t="s">
        <v>140</v>
      </c>
      <c r="D777" s="8">
        <v>48</v>
      </c>
      <c r="E777" s="9"/>
      <c r="F777" s="9"/>
      <c r="G777" s="9"/>
      <c r="H777" s="9"/>
      <c r="I777" s="9"/>
      <c r="J777" s="9"/>
      <c r="K777" s="9"/>
      <c r="L777" s="9"/>
      <c r="M777" s="7"/>
      <c r="N777" s="4" t="s">
        <v>378</v>
      </c>
      <c r="O777" s="4" t="s">
        <v>50</v>
      </c>
      <c r="P777" s="4" t="s">
        <v>50</v>
      </c>
      <c r="Q777" s="4" t="s">
        <v>50</v>
      </c>
      <c r="R777" s="4" t="s">
        <v>60</v>
      </c>
      <c r="S777" s="4" t="s">
        <v>61</v>
      </c>
      <c r="T777" s="4" t="s">
        <v>61</v>
      </c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4" t="s">
        <v>50</v>
      </c>
      <c r="AS777" s="4" t="s">
        <v>50</v>
      </c>
      <c r="AT777" s="1"/>
      <c r="AU777" s="4" t="s">
        <v>434</v>
      </c>
      <c r="AV777" s="1">
        <v>5795</v>
      </c>
    </row>
    <row r="778" spans="1:48" ht="3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 spans="1:48" ht="3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 spans="1:48" ht="3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 spans="1:48" ht="3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 spans="1:48" ht="3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 spans="1:48" ht="3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 spans="1:48" ht="3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 spans="1:48" ht="3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 spans="1:48" ht="3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 spans="1:48" ht="3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 spans="1:48" ht="3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 spans="1:48" ht="3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 spans="1:48" ht="3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 spans="1:48" ht="3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 spans="1:48" ht="3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 spans="1:48" ht="3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 spans="1:48" ht="30" customHeight="1">
      <c r="A794" s="8" t="s">
        <v>82</v>
      </c>
      <c r="B794" s="8"/>
      <c r="C794" s="8"/>
      <c r="D794" s="8"/>
      <c r="E794" s="8"/>
      <c r="F794" s="9">
        <f>SUM(F772:F793)</f>
        <v>0</v>
      </c>
      <c r="G794" s="8"/>
      <c r="H794" s="9">
        <f>SUM(H772:H793)</f>
        <v>0</v>
      </c>
      <c r="I794" s="8"/>
      <c r="J794" s="9">
        <f>SUM(J772:J793)</f>
        <v>0</v>
      </c>
      <c r="K794" s="8"/>
      <c r="L794" s="9">
        <f>SUM(L772:L793)</f>
        <v>0</v>
      </c>
      <c r="M794" s="8"/>
      <c r="N794" t="s">
        <v>83</v>
      </c>
    </row>
    <row r="795" spans="1:48" ht="30" customHeight="1">
      <c r="A795" s="7" t="s">
        <v>435</v>
      </c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1"/>
      <c r="O795" s="1"/>
      <c r="P795" s="1"/>
      <c r="Q795" s="4" t="s">
        <v>436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spans="1:48" ht="30" customHeight="1">
      <c r="A796" s="7" t="s">
        <v>215</v>
      </c>
      <c r="B796" s="7" t="s">
        <v>216</v>
      </c>
      <c r="C796" s="7" t="s">
        <v>167</v>
      </c>
      <c r="D796" s="8">
        <v>83</v>
      </c>
      <c r="E796" s="9"/>
      <c r="F796" s="9"/>
      <c r="G796" s="9"/>
      <c r="H796" s="9"/>
      <c r="I796" s="9"/>
      <c r="J796" s="9"/>
      <c r="K796" s="9"/>
      <c r="L796" s="9"/>
      <c r="M796" s="7" t="s">
        <v>217</v>
      </c>
      <c r="N796" s="4" t="s">
        <v>218</v>
      </c>
      <c r="O796" s="4" t="s">
        <v>50</v>
      </c>
      <c r="P796" s="4" t="s">
        <v>50</v>
      </c>
      <c r="Q796" s="4" t="s">
        <v>50</v>
      </c>
      <c r="R796" s="4" t="s">
        <v>61</v>
      </c>
      <c r="S796" s="4" t="s">
        <v>61</v>
      </c>
      <c r="T796" s="4" t="s">
        <v>60</v>
      </c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4" t="s">
        <v>50</v>
      </c>
      <c r="AS796" s="4" t="s">
        <v>50</v>
      </c>
      <c r="AT796" s="1"/>
      <c r="AU796" s="4" t="s">
        <v>437</v>
      </c>
      <c r="AV796" s="1">
        <v>5797</v>
      </c>
    </row>
    <row r="797" spans="1:48" ht="3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 spans="1:48" ht="3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 spans="1:48" ht="3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 spans="1:48" ht="3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 spans="1:13" ht="3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 spans="1:13" ht="3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 spans="1:13" ht="3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 spans="1:13" ht="3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 spans="1:13" ht="3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 spans="1:13" ht="3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 spans="1:13" ht="3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 spans="1:13" ht="3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 spans="1:13" ht="3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 spans="1:13" ht="3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 spans="1:13" ht="3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 spans="1:13" ht="3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 spans="1:13" ht="3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 spans="1:13" ht="3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 spans="1:13" ht="3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 spans="1:13" ht="3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 spans="1:14" ht="3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 spans="1:14" ht="30" customHeight="1">
      <c r="A818" s="8" t="s">
        <v>82</v>
      </c>
      <c r="B818" s="8"/>
      <c r="C818" s="8"/>
      <c r="D818" s="8"/>
      <c r="E818" s="8"/>
      <c r="F818" s="9">
        <f>SUM(F796:F817)</f>
        <v>0</v>
      </c>
      <c r="G818" s="8"/>
      <c r="H818" s="9">
        <f>SUM(H796:H817)</f>
        <v>0</v>
      </c>
      <c r="I818" s="8"/>
      <c r="J818" s="9">
        <f>SUM(J796:J817)</f>
        <v>0</v>
      </c>
      <c r="K818" s="8"/>
      <c r="L818" s="9">
        <f>SUM(L796:L817)</f>
        <v>0</v>
      </c>
      <c r="M818" s="8"/>
      <c r="N818" t="s">
        <v>83</v>
      </c>
    </row>
  </sheetData>
  <mergeCells count="45">
    <mergeCell ref="AR2:AR3"/>
    <mergeCell ref="AS2:AS3"/>
    <mergeCell ref="AT2:AT3"/>
    <mergeCell ref="AU2:AU3"/>
    <mergeCell ref="AV2:AV3"/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E2:AE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S2:S3"/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P2:P3"/>
    <mergeCell ref="Q2:Q3"/>
    <mergeCell ref="R2:R3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  <rowBreaks count="34" manualBreakCount="34">
    <brk id="27" max="16383" man="1"/>
    <brk id="51" max="16383" man="1"/>
    <brk id="74" max="16383" man="1"/>
    <brk id="98" max="16383" man="1"/>
    <brk id="122" max="16383" man="1"/>
    <brk id="146" max="16383" man="1"/>
    <brk id="170" max="16383" man="1"/>
    <brk id="194" max="16383" man="1"/>
    <brk id="218" max="12" man="1"/>
    <brk id="242" max="16383" man="1"/>
    <brk id="266" max="16383" man="1"/>
    <brk id="290" max="16383" man="1"/>
    <brk id="314" max="16383" man="1"/>
    <brk id="338" max="16383" man="1"/>
    <brk id="362" max="16383" man="1"/>
    <brk id="386" max="16383" man="1"/>
    <brk id="410" max="16383" man="1"/>
    <brk id="434" max="12" man="1"/>
    <brk id="458" max="16383" man="1"/>
    <brk id="482" max="16383" man="1"/>
    <brk id="506" max="16383" man="1"/>
    <brk id="530" max="16383" man="1"/>
    <brk id="554" max="16383" man="1"/>
    <brk id="578" max="16383" man="1"/>
    <brk id="602" max="16383" man="1"/>
    <brk id="626" max="12" man="1"/>
    <brk id="650" max="16383" man="1"/>
    <brk id="674" max="16383" man="1"/>
    <brk id="698" max="16383" man="1"/>
    <brk id="722" max="16383" man="1"/>
    <brk id="746" max="16383" man="1"/>
    <brk id="770" max="16383" man="1"/>
    <brk id="794" max="16383" man="1"/>
    <brk id="8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7</vt:i4>
      </vt:variant>
    </vt:vector>
  </HeadingPairs>
  <TitlesOfParts>
    <vt:vector size="12" baseType="lpstr">
      <vt:lpstr>표지</vt:lpstr>
      <vt:lpstr>원가계산서</vt:lpstr>
      <vt:lpstr>총괄표 </vt:lpstr>
      <vt:lpstr>공종별집계표</vt:lpstr>
      <vt:lpstr>공종별내역서</vt:lpstr>
      <vt:lpstr>공종별내역서!Print_Area</vt:lpstr>
      <vt:lpstr>공종별집계표!Print_Area</vt:lpstr>
      <vt:lpstr>원가계산서!Print_Area</vt:lpstr>
      <vt:lpstr>'총괄표 '!Print_Area</vt:lpstr>
      <vt:lpstr>표지!Print_Area</vt:lpstr>
      <vt:lpstr>공종별내역서!Print_Titles</vt:lpstr>
      <vt:lpstr>공종별집계표!Print_Titles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2018-12-06T06:51:15Z</cp:lastPrinted>
  <dcterms:created xsi:type="dcterms:W3CDTF">2018-11-28T21:50:25Z</dcterms:created>
  <dcterms:modified xsi:type="dcterms:W3CDTF">2018-12-19T00:05:13Z</dcterms:modified>
</cp:coreProperties>
</file>